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xl/comments4.xml" ContentType="application/vnd.openxmlformats-officedocument.spreadsheetml.comments+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worksheets/sheet1.xml" ContentType="application/vnd.openxmlformats-officedocument.spreadsheetml.worksheet+xml"/>
  <Default Extension="vml" ContentType="application/vnd.openxmlformats-officedocument.vmlDrawing"/>
  <Override PartName="/xl/comments1.xml" ContentType="application/vnd.openxmlformats-officedocument.spreadsheetml.comments+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6" codeName="{B7FE6334-C1A2-E50D-BD3D-5F4D41BBC2E3}"/>
  <workbookPr codeName="ThisWorkbook" defaultThemeVersion="124226"/>
  <bookViews>
    <workbookView xWindow="375" yWindow="45" windowWidth="14460" windowHeight="14460" tabRatio="833"/>
  </bookViews>
  <sheets>
    <sheet name="Timesheet" sheetId="4" r:id="rId1"/>
    <sheet name="SampleTimesheet" sheetId="164" r:id="rId2"/>
    <sheet name="TemplateOT" sheetId="7" r:id="rId3"/>
    <sheet name="TemplateVacation" sheetId="13" r:id="rId4"/>
    <sheet name="TemplateOT45" sheetId="100" r:id="rId5"/>
    <sheet name="Holiday2015" sheetId="140" r:id="rId6"/>
    <sheet name="OTRequest" sheetId="175" r:id="rId7"/>
    <sheet name="VacationRequest" sheetId="176" r:id="rId8"/>
  </sheets>
  <definedNames>
    <definedName name="_xlnm.Print_Area" localSheetId="1">SampleTimesheet!$A$1:$R$57</definedName>
    <definedName name="_xlnm.Print_Area" localSheetId="3">TemplateVacation!$A$2:$G$33</definedName>
    <definedName name="_xlnm.Print_Area" localSheetId="0">Timesheet!$A$1:$R$57</definedName>
    <definedName name="_xlnm.Print_Area" localSheetId="7">VacationRequest!$A$2:$G$40</definedName>
  </definedNames>
  <calcPr calcId="125725"/>
</workbook>
</file>

<file path=xl/calcChain.xml><?xml version="1.0" encoding="utf-8"?>
<calcChain xmlns="http://schemas.openxmlformats.org/spreadsheetml/2006/main">
  <c r="B23" i="176"/>
  <c r="B7"/>
  <c r="G6"/>
  <c r="E6"/>
  <c r="B6"/>
  <c r="B22"/>
  <c r="O10" i="175"/>
  <c r="L10"/>
  <c r="K10"/>
  <c r="J10"/>
  <c r="I10"/>
  <c r="H10"/>
  <c r="O4"/>
  <c r="M4"/>
  <c r="B4"/>
  <c r="Q42" i="164"/>
  <c r="I42"/>
  <c r="H42"/>
  <c r="G42"/>
  <c r="F42"/>
  <c r="J41"/>
  <c r="K41"/>
  <c r="J40"/>
  <c r="K40"/>
  <c r="J39"/>
  <c r="K39"/>
  <c r="J38"/>
  <c r="K38"/>
  <c r="J37"/>
  <c r="K37"/>
  <c r="J36"/>
  <c r="K36"/>
  <c r="J35"/>
  <c r="K35"/>
  <c r="J34"/>
  <c r="K34"/>
  <c r="J33"/>
  <c r="K33"/>
  <c r="J32"/>
  <c r="K32"/>
  <c r="J31"/>
  <c r="K31"/>
  <c r="J30"/>
  <c r="K30"/>
  <c r="J29"/>
  <c r="K29"/>
  <c r="J28"/>
  <c r="K28"/>
  <c r="J27"/>
  <c r="K27"/>
  <c r="J26"/>
  <c r="K26"/>
  <c r="J25"/>
  <c r="K25"/>
  <c r="J24"/>
  <c r="K24"/>
  <c r="J23"/>
  <c r="K23"/>
  <c r="J22"/>
  <c r="K22"/>
  <c r="J21"/>
  <c r="K21"/>
  <c r="J20"/>
  <c r="K20"/>
  <c r="J19"/>
  <c r="K19"/>
  <c r="J18"/>
  <c r="K18"/>
  <c r="J17"/>
  <c r="K17"/>
  <c r="J16"/>
  <c r="K16"/>
  <c r="J15"/>
  <c r="K15"/>
  <c r="J14"/>
  <c r="K14"/>
  <c r="J13"/>
  <c r="K13"/>
  <c r="J12"/>
  <c r="K12"/>
  <c r="J11"/>
  <c r="A11"/>
  <c r="X10"/>
  <c r="V6"/>
  <c r="U6"/>
  <c r="T6"/>
  <c r="S6"/>
  <c r="S7"/>
  <c r="T7"/>
  <c r="U7"/>
  <c r="R6"/>
  <c r="H15" i="100"/>
  <c r="F15"/>
  <c r="D15"/>
  <c r="C15"/>
  <c r="A15"/>
  <c r="J12" i="4"/>
  <c r="K12" s="1"/>
  <c r="I42"/>
  <c r="B16" i="13"/>
  <c r="J41" i="4"/>
  <c r="K41"/>
  <c r="J40"/>
  <c r="K40" s="1"/>
  <c r="J39"/>
  <c r="K39"/>
  <c r="J38"/>
  <c r="K38" s="1"/>
  <c r="J37"/>
  <c r="K37" s="1"/>
  <c r="J36"/>
  <c r="K36" s="1"/>
  <c r="J35"/>
  <c r="K35"/>
  <c r="J34"/>
  <c r="J33"/>
  <c r="K33" s="1"/>
  <c r="J32"/>
  <c r="K32"/>
  <c r="J31"/>
  <c r="K31" s="1"/>
  <c r="J30"/>
  <c r="K30" s="1"/>
  <c r="J29"/>
  <c r="K29" s="1"/>
  <c r="J28"/>
  <c r="K28"/>
  <c r="J27"/>
  <c r="K27" s="1"/>
  <c r="J26"/>
  <c r="J25"/>
  <c r="K25" s="1"/>
  <c r="J24"/>
  <c r="K24" s="1"/>
  <c r="J23"/>
  <c r="J22"/>
  <c r="J21"/>
  <c r="K21"/>
  <c r="J20"/>
  <c r="K20" s="1"/>
  <c r="J19"/>
  <c r="K19" s="1"/>
  <c r="J18"/>
  <c r="K18"/>
  <c r="J17"/>
  <c r="K17" s="1"/>
  <c r="A11"/>
  <c r="J11"/>
  <c r="J13"/>
  <c r="K13" s="1"/>
  <c r="J14"/>
  <c r="K14" s="1"/>
  <c r="J15"/>
  <c r="K15" s="1"/>
  <c r="J16"/>
  <c r="K16" s="1"/>
  <c r="X10"/>
  <c r="B7" i="13"/>
  <c r="B6"/>
  <c r="B15" s="1"/>
  <c r="G6"/>
  <c r="E6"/>
  <c r="L10" i="7"/>
  <c r="K10"/>
  <c r="O10"/>
  <c r="R6" i="4"/>
  <c r="J10" i="7"/>
  <c r="I10"/>
  <c r="O4"/>
  <c r="M4"/>
  <c r="B4"/>
  <c r="C8"/>
  <c r="H8"/>
  <c r="H10"/>
  <c r="Q42" i="4"/>
  <c r="H42"/>
  <c r="G42"/>
  <c r="F42"/>
  <c r="V6"/>
  <c r="U6"/>
  <c r="T6"/>
  <c r="S6"/>
  <c r="S7"/>
  <c r="T7" s="1"/>
  <c r="U7" s="1"/>
  <c r="A12" s="1"/>
  <c r="G8" i="7"/>
  <c r="G10"/>
  <c r="B11" i="164"/>
  <c r="A12"/>
  <c r="K11"/>
  <c r="J42"/>
  <c r="P11"/>
  <c r="O11"/>
  <c r="S11"/>
  <c r="X11"/>
  <c r="S12"/>
  <c r="B12"/>
  <c r="A13"/>
  <c r="K42"/>
  <c r="M12"/>
  <c r="L12"/>
  <c r="N12"/>
  <c r="X12"/>
  <c r="N11"/>
  <c r="M11"/>
  <c r="L11"/>
  <c r="B13"/>
  <c r="S13"/>
  <c r="A14"/>
  <c r="O12"/>
  <c r="P12"/>
  <c r="M13"/>
  <c r="N13"/>
  <c r="L13"/>
  <c r="X13"/>
  <c r="W11"/>
  <c r="S14"/>
  <c r="A15"/>
  <c r="B14"/>
  <c r="P13"/>
  <c r="O13"/>
  <c r="W12"/>
  <c r="W13"/>
  <c r="M14"/>
  <c r="L14"/>
  <c r="X14"/>
  <c r="N14"/>
  <c r="O14"/>
  <c r="P14"/>
  <c r="B15"/>
  <c r="S15"/>
  <c r="A16"/>
  <c r="S16"/>
  <c r="A17"/>
  <c r="B16"/>
  <c r="L15"/>
  <c r="X15"/>
  <c r="M15"/>
  <c r="N15"/>
  <c r="W14"/>
  <c r="P15"/>
  <c r="O15"/>
  <c r="W15"/>
  <c r="B17"/>
  <c r="A18"/>
  <c r="N16"/>
  <c r="L16"/>
  <c r="M16"/>
  <c r="X16"/>
  <c r="P16"/>
  <c r="O16"/>
  <c r="B18"/>
  <c r="A19"/>
  <c r="O17"/>
  <c r="P17"/>
  <c r="W16"/>
  <c r="S17"/>
  <c r="B19"/>
  <c r="S19"/>
  <c r="A20"/>
  <c r="P18"/>
  <c r="O18"/>
  <c r="L17"/>
  <c r="M17"/>
  <c r="N17"/>
  <c r="X17"/>
  <c r="S18"/>
  <c r="M19"/>
  <c r="X19"/>
  <c r="L19"/>
  <c r="N19"/>
  <c r="W17"/>
  <c r="N18"/>
  <c r="L18"/>
  <c r="M18"/>
  <c r="X18"/>
  <c r="B20"/>
  <c r="A21"/>
  <c r="S20"/>
  <c r="P19"/>
  <c r="O19"/>
  <c r="N20"/>
  <c r="L20"/>
  <c r="M20"/>
  <c r="W20"/>
  <c r="X20"/>
  <c r="P20"/>
  <c r="O20"/>
  <c r="W18"/>
  <c r="B21"/>
  <c r="S21"/>
  <c r="A22"/>
  <c r="W19"/>
  <c r="P21"/>
  <c r="O21"/>
  <c r="A23"/>
  <c r="S22"/>
  <c r="B22"/>
  <c r="N21"/>
  <c r="L21"/>
  <c r="X21"/>
  <c r="M21"/>
  <c r="W21"/>
  <c r="L22"/>
  <c r="N22"/>
  <c r="M22"/>
  <c r="X22"/>
  <c r="S23"/>
  <c r="B23"/>
  <c r="A24"/>
  <c r="O22"/>
  <c r="P22"/>
  <c r="N23"/>
  <c r="L23"/>
  <c r="M23"/>
  <c r="X23"/>
  <c r="A25"/>
  <c r="B24"/>
  <c r="W22"/>
  <c r="P23"/>
  <c r="O23"/>
  <c r="A26"/>
  <c r="B25"/>
  <c r="P24"/>
  <c r="O24"/>
  <c r="S24"/>
  <c r="W23"/>
  <c r="O25"/>
  <c r="P25"/>
  <c r="L24"/>
  <c r="M24"/>
  <c r="N24"/>
  <c r="X24"/>
  <c r="S25"/>
  <c r="A27"/>
  <c r="B26"/>
  <c r="A28"/>
  <c r="B27"/>
  <c r="N25"/>
  <c r="L25"/>
  <c r="M25"/>
  <c r="W25"/>
  <c r="X25"/>
  <c r="P26"/>
  <c r="O26"/>
  <c r="S26"/>
  <c r="W24"/>
  <c r="S28"/>
  <c r="B28"/>
  <c r="A29"/>
  <c r="N26"/>
  <c r="L26"/>
  <c r="M26"/>
  <c r="W26"/>
  <c r="X26"/>
  <c r="O27"/>
  <c r="P27"/>
  <c r="S27"/>
  <c r="L28"/>
  <c r="M28"/>
  <c r="N28"/>
  <c r="X28"/>
  <c r="S29"/>
  <c r="A30"/>
  <c r="B29"/>
  <c r="L27"/>
  <c r="N27"/>
  <c r="M27"/>
  <c r="W27"/>
  <c r="X27"/>
  <c r="P28"/>
  <c r="O28"/>
  <c r="A31"/>
  <c r="B30"/>
  <c r="S30"/>
  <c r="N29"/>
  <c r="M29"/>
  <c r="L29"/>
  <c r="X29"/>
  <c r="W28"/>
  <c r="P29"/>
  <c r="O29"/>
  <c r="N30"/>
  <c r="L30"/>
  <c r="M30"/>
  <c r="X30"/>
  <c r="A32"/>
  <c r="B31"/>
  <c r="W29"/>
  <c r="P30"/>
  <c r="O30"/>
  <c r="O31"/>
  <c r="P31"/>
  <c r="A33"/>
  <c r="B32"/>
  <c r="W30"/>
  <c r="S31"/>
  <c r="O32"/>
  <c r="P32"/>
  <c r="M31"/>
  <c r="L31"/>
  <c r="N31"/>
  <c r="X31"/>
  <c r="S32"/>
  <c r="B33"/>
  <c r="S33"/>
  <c r="A34"/>
  <c r="O33"/>
  <c r="P33"/>
  <c r="A35"/>
  <c r="B34"/>
  <c r="M32"/>
  <c r="W32"/>
  <c r="L32"/>
  <c r="N32"/>
  <c r="X32"/>
  <c r="M33"/>
  <c r="W33"/>
  <c r="N33"/>
  <c r="X33"/>
  <c r="L33"/>
  <c r="W31"/>
  <c r="P34"/>
  <c r="O34"/>
  <c r="S35"/>
  <c r="A36"/>
  <c r="B35"/>
  <c r="S34"/>
  <c r="N34"/>
  <c r="L34"/>
  <c r="M34"/>
  <c r="W34"/>
  <c r="X34"/>
  <c r="B36"/>
  <c r="S36"/>
  <c r="A37"/>
  <c r="M35"/>
  <c r="N35"/>
  <c r="L35"/>
  <c r="X35"/>
  <c r="O35"/>
  <c r="P35"/>
  <c r="O36"/>
  <c r="P36"/>
  <c r="N36"/>
  <c r="M36"/>
  <c r="W36"/>
  <c r="L36"/>
  <c r="X36"/>
  <c r="W35"/>
  <c r="B37"/>
  <c r="A38"/>
  <c r="A39"/>
  <c r="B38"/>
  <c r="O37"/>
  <c r="P37"/>
  <c r="S37"/>
  <c r="B39"/>
  <c r="S39"/>
  <c r="A40"/>
  <c r="L37"/>
  <c r="N37"/>
  <c r="X37"/>
  <c r="M37"/>
  <c r="W37"/>
  <c r="P38"/>
  <c r="O38"/>
  <c r="S38"/>
  <c r="L39"/>
  <c r="M39"/>
  <c r="X39"/>
  <c r="N39"/>
  <c r="B40"/>
  <c r="A41"/>
  <c r="L38"/>
  <c r="M38"/>
  <c r="W38"/>
  <c r="N38"/>
  <c r="X38"/>
  <c r="P39"/>
  <c r="O39"/>
  <c r="B41"/>
  <c r="O40"/>
  <c r="P40"/>
  <c r="W39"/>
  <c r="S40"/>
  <c r="O41"/>
  <c r="O42"/>
  <c r="P41"/>
  <c r="P42"/>
  <c r="N40"/>
  <c r="M40"/>
  <c r="L40"/>
  <c r="X40"/>
  <c r="S41"/>
  <c r="W40"/>
  <c r="M41"/>
  <c r="L41"/>
  <c r="L42"/>
  <c r="N41"/>
  <c r="N42"/>
  <c r="X41"/>
  <c r="W41"/>
  <c r="M42"/>
  <c r="Q43"/>
  <c r="G10" i="175"/>
  <c r="K34" i="4"/>
  <c r="K26"/>
  <c r="K23"/>
  <c r="K22"/>
  <c r="J42" l="1"/>
  <c r="K11"/>
  <c r="K42" s="1"/>
  <c r="A13"/>
  <c r="B12"/>
  <c r="B11"/>
  <c r="P11" l="1"/>
  <c r="O11"/>
  <c r="A14"/>
  <c r="B13"/>
  <c r="P12"/>
  <c r="O12"/>
  <c r="S12"/>
  <c r="S11"/>
  <c r="O13" l="1"/>
  <c r="P13"/>
  <c r="L12"/>
  <c r="X12"/>
  <c r="M12"/>
  <c r="W12" s="1"/>
  <c r="N12"/>
  <c r="N11"/>
  <c r="L11"/>
  <c r="X11"/>
  <c r="M11"/>
  <c r="A15"/>
  <c r="B14"/>
  <c r="S13"/>
  <c r="P14" l="1"/>
  <c r="O14"/>
  <c r="N13"/>
  <c r="M13"/>
  <c r="L13"/>
  <c r="X13"/>
  <c r="W11"/>
  <c r="A16"/>
  <c r="S15"/>
  <c r="B15"/>
  <c r="S14"/>
  <c r="A17" l="1"/>
  <c r="B16"/>
  <c r="S16"/>
  <c r="M15"/>
  <c r="L15"/>
  <c r="X15"/>
  <c r="N15"/>
  <c r="P15"/>
  <c r="O15"/>
  <c r="W13"/>
  <c r="X14"/>
  <c r="M14"/>
  <c r="L14"/>
  <c r="N14"/>
  <c r="B17" l="1"/>
  <c r="A18"/>
  <c r="S17"/>
  <c r="O16"/>
  <c r="P16"/>
  <c r="W15"/>
  <c r="X16"/>
  <c r="M16"/>
  <c r="N16"/>
  <c r="L16"/>
  <c r="W14"/>
  <c r="O17" l="1"/>
  <c r="P17"/>
  <c r="W16"/>
  <c r="L17"/>
  <c r="X17"/>
  <c r="M17"/>
  <c r="N17"/>
  <c r="B18"/>
  <c r="S18" s="1"/>
  <c r="A19"/>
  <c r="L18" l="1"/>
  <c r="M18"/>
  <c r="X18"/>
  <c r="N18"/>
  <c r="B19"/>
  <c r="A20"/>
  <c r="W17"/>
  <c r="P18"/>
  <c r="O18"/>
  <c r="W18" l="1"/>
  <c r="B20"/>
  <c r="A21"/>
  <c r="O19"/>
  <c r="P19"/>
  <c r="S19"/>
  <c r="P20" l="1"/>
  <c r="O20"/>
  <c r="A22"/>
  <c r="B21"/>
  <c r="S21" s="1"/>
  <c r="N19"/>
  <c r="M19"/>
  <c r="X19"/>
  <c r="L19"/>
  <c r="S20"/>
  <c r="M21" l="1"/>
  <c r="X21"/>
  <c r="N21"/>
  <c r="L21"/>
  <c r="B22"/>
  <c r="A23"/>
  <c r="X20"/>
  <c r="N20"/>
  <c r="M20"/>
  <c r="L20"/>
  <c r="W19"/>
  <c r="O21"/>
  <c r="P21"/>
  <c r="W21" l="1"/>
  <c r="O22"/>
  <c r="P22"/>
  <c r="B23"/>
  <c r="A24"/>
  <c r="W20"/>
  <c r="S22"/>
  <c r="P23" l="1"/>
  <c r="O23"/>
  <c r="S23"/>
  <c r="B24"/>
  <c r="S24" s="1"/>
  <c r="A25"/>
  <c r="N22"/>
  <c r="M22"/>
  <c r="L22"/>
  <c r="X22"/>
  <c r="W22" l="1"/>
  <c r="L24"/>
  <c r="M24"/>
  <c r="X24"/>
  <c r="N24"/>
  <c r="M23"/>
  <c r="L23"/>
  <c r="X23"/>
  <c r="N23"/>
  <c r="A26"/>
  <c r="B25"/>
  <c r="P24"/>
  <c r="O24"/>
  <c r="B26" l="1"/>
  <c r="A27"/>
  <c r="O25"/>
  <c r="P25"/>
  <c r="S25"/>
  <c r="W24"/>
  <c r="W23"/>
  <c r="P26" l="1"/>
  <c r="O26"/>
  <c r="L25"/>
  <c r="N25"/>
  <c r="X25"/>
  <c r="M25"/>
  <c r="S26"/>
  <c r="B27"/>
  <c r="S27" s="1"/>
  <c r="A28"/>
  <c r="M27" l="1"/>
  <c r="L27"/>
  <c r="N27"/>
  <c r="X27"/>
  <c r="B28"/>
  <c r="S28" s="1"/>
  <c r="A29"/>
  <c r="W25"/>
  <c r="N26"/>
  <c r="X26"/>
  <c r="M26"/>
  <c r="L26"/>
  <c r="O27"/>
  <c r="P27"/>
  <c r="W27" l="1"/>
  <c r="M28"/>
  <c r="X28"/>
  <c r="N28"/>
  <c r="L28"/>
  <c r="W26"/>
  <c r="P28"/>
  <c r="O28"/>
  <c r="B29"/>
  <c r="S29" s="1"/>
  <c r="A30"/>
  <c r="W28" l="1"/>
  <c r="X29"/>
  <c r="N29"/>
  <c r="M29"/>
  <c r="L29"/>
  <c r="B30"/>
  <c r="A31"/>
  <c r="P29"/>
  <c r="O29"/>
  <c r="O30" l="1"/>
  <c r="P30"/>
  <c r="B31"/>
  <c r="A32"/>
  <c r="S30"/>
  <c r="W29"/>
  <c r="O31" l="1"/>
  <c r="P31"/>
  <c r="S31"/>
  <c r="M30"/>
  <c r="W30" s="1"/>
  <c r="L30"/>
  <c r="X30"/>
  <c r="N30"/>
  <c r="A33"/>
  <c r="B32"/>
  <c r="O32" l="1"/>
  <c r="P32"/>
  <c r="N31"/>
  <c r="M31"/>
  <c r="X31"/>
  <c r="L31"/>
  <c r="A34"/>
  <c r="B33"/>
  <c r="S32"/>
  <c r="L32" l="1"/>
  <c r="N32"/>
  <c r="M32"/>
  <c r="X32"/>
  <c r="O33"/>
  <c r="P33"/>
  <c r="S33"/>
  <c r="B34"/>
  <c r="A35"/>
  <c r="S34"/>
  <c r="W31"/>
  <c r="M34" l="1"/>
  <c r="L34"/>
  <c r="N34"/>
  <c r="X34"/>
  <c r="W32"/>
  <c r="B35"/>
  <c r="S35" s="1"/>
  <c r="A36"/>
  <c r="L33"/>
  <c r="M33"/>
  <c r="W33" s="1"/>
  <c r="N33"/>
  <c r="X33"/>
  <c r="P34"/>
  <c r="O34"/>
  <c r="W34" l="1"/>
  <c r="L35"/>
  <c r="X35"/>
  <c r="N35"/>
  <c r="M35"/>
  <c r="P35"/>
  <c r="O35"/>
  <c r="A37"/>
  <c r="B36"/>
  <c r="W35" l="1"/>
  <c r="P36"/>
  <c r="O36"/>
  <c r="S36"/>
  <c r="A38"/>
  <c r="B37"/>
  <c r="M36" l="1"/>
  <c r="X36"/>
  <c r="N36"/>
  <c r="L36"/>
  <c r="P37"/>
  <c r="O37"/>
  <c r="A39"/>
  <c r="B38"/>
  <c r="S38" s="1"/>
  <c r="S37"/>
  <c r="W36" l="1"/>
  <c r="N38"/>
  <c r="L38"/>
  <c r="M38"/>
  <c r="X38"/>
  <c r="M37"/>
  <c r="X37"/>
  <c r="L37"/>
  <c r="N37"/>
  <c r="P38"/>
  <c r="O38"/>
  <c r="B39"/>
  <c r="S39" s="1"/>
  <c r="A40"/>
  <c r="W37" l="1"/>
  <c r="L39"/>
  <c r="N39"/>
  <c r="M39"/>
  <c r="X39"/>
  <c r="B40"/>
  <c r="A41"/>
  <c r="W38"/>
  <c r="O39"/>
  <c r="P39"/>
  <c r="O40" l="1"/>
  <c r="P40"/>
  <c r="S40"/>
  <c r="B41"/>
  <c r="W39"/>
  <c r="O41" l="1"/>
  <c r="O42" s="1"/>
  <c r="P41"/>
  <c r="P42" s="1"/>
  <c r="L40"/>
  <c r="M40"/>
  <c r="N40"/>
  <c r="X40"/>
  <c r="S41"/>
  <c r="W40" l="1"/>
  <c r="M41"/>
  <c r="X41"/>
  <c r="L41"/>
  <c r="L42" s="1"/>
  <c r="N41"/>
  <c r="N42" s="1"/>
  <c r="W41" l="1"/>
  <c r="M42"/>
  <c r="Q43" s="1"/>
  <c r="E30" i="100" s="1"/>
</calcChain>
</file>

<file path=xl/comments1.xml><?xml version="1.0" encoding="utf-8"?>
<comments xmlns="http://schemas.openxmlformats.org/spreadsheetml/2006/main">
  <authors>
    <author>kinh</author>
    <author>ｆｐｔ</author>
    <author>Nhung</author>
    <author>Nguyen Duc Kinh</author>
  </authors>
  <commentList>
    <comment ref="D7" authorId="0">
      <text>
        <r>
          <rPr>
            <sz val="9"/>
            <color indexed="81"/>
            <rFont val="ＭＳ Ｐゴシック"/>
            <family val="3"/>
            <charset val="128"/>
          </rPr>
          <t>Fill starting day of the working period. Should be 1, 16 or 21 or 24...,depend on working site</t>
        </r>
      </text>
    </comment>
    <comment ref="E7" authorId="0">
      <text>
        <r>
          <rPr>
            <sz val="9"/>
            <color indexed="81"/>
            <rFont val="ＭＳ Ｐゴシック"/>
            <family val="3"/>
            <charset val="128"/>
          </rPr>
          <t>Fill the month of day is started</t>
        </r>
      </text>
    </comment>
    <comment ref="F7" authorId="1">
      <text>
        <r>
          <rPr>
            <sz val="8"/>
            <color indexed="81"/>
            <rFont val="Tahoma"/>
            <family val="2"/>
          </rPr>
          <t>Fill working year</t>
        </r>
      </text>
    </comment>
    <comment ref="R7" authorId="2">
      <text>
        <r>
          <rPr>
            <sz val="9"/>
            <color indexed="81"/>
            <rFont val="Tahoma"/>
            <family val="2"/>
          </rPr>
          <t>format hh:mm
input the standard working hour of working site:
 - FJP office or Ukeoi: 8:00
 - Haken: Based on regulation of customer.)</t>
        </r>
      </text>
    </comment>
    <comment ref="T7" authorId="0">
      <text>
        <r>
          <rPr>
            <sz val="9"/>
            <color indexed="81"/>
            <rFont val="ＭＳ Ｐゴシック"/>
            <family val="3"/>
            <charset val="128"/>
          </rPr>
          <t>Fill the month of day is started</t>
        </r>
      </text>
    </comment>
    <comment ref="U7" authorId="1">
      <text>
        <r>
          <rPr>
            <sz val="8"/>
            <color indexed="81"/>
            <rFont val="Tahoma"/>
            <family val="2"/>
          </rPr>
          <t xml:space="preserve">Fill working year
</t>
        </r>
      </text>
    </comment>
    <comment ref="C10" authorId="1">
      <text>
        <r>
          <rPr>
            <b/>
            <sz val="8"/>
            <color indexed="81"/>
            <rFont val="Tahoma"/>
            <family val="2"/>
          </rPr>
          <t>Mark * for FJP's holidays, the day is out of Timesheet period.</t>
        </r>
      </text>
    </comment>
    <comment ref="D10" authorId="3">
      <text>
        <r>
          <rPr>
            <b/>
            <sz val="9"/>
            <color indexed="81"/>
            <rFont val="ＭＳ Ｐゴシック"/>
            <family val="3"/>
            <charset val="128"/>
          </rPr>
          <t>In
（format: hh:mm)</t>
        </r>
      </text>
    </comment>
    <comment ref="E10" authorId="3">
      <text>
        <r>
          <rPr>
            <b/>
            <sz val="9"/>
            <color indexed="81"/>
            <rFont val="ＭＳ Ｐゴシック"/>
            <family val="3"/>
            <charset val="128"/>
          </rPr>
          <t>Out
（format: hh:mm)
24:00-&gt;input 00:00</t>
        </r>
      </text>
    </comment>
    <comment ref="F10" authorId="3">
      <text>
        <r>
          <rPr>
            <b/>
            <sz val="9"/>
            <color indexed="81"/>
            <rFont val="ＭＳ Ｐゴシック"/>
            <family val="3"/>
            <charset val="128"/>
          </rPr>
          <t>Total of Break time, e.g: "1:15"
（format: hh:mm)</t>
        </r>
      </text>
    </comment>
    <comment ref="G10" authorId="3">
      <text>
        <r>
          <rPr>
            <b/>
            <sz val="9"/>
            <color indexed="81"/>
            <rFont val="ＭＳ Ｐゴシック"/>
            <family val="3"/>
            <charset val="128"/>
          </rPr>
          <t>業務上外出時間
Going out for job duty.
（format: hh:mm)</t>
        </r>
      </text>
    </comment>
    <comment ref="H10" authorId="3">
      <text>
        <r>
          <rPr>
            <b/>
            <sz val="9"/>
            <color indexed="81"/>
            <rFont val="ＭＳ Ｐゴシック"/>
            <family val="3"/>
            <charset val="128"/>
          </rPr>
          <t>振替休日
Substitute holiday.
（format: hh:mm)</t>
        </r>
      </text>
    </comment>
    <comment ref="I10" authorId="2">
      <text>
        <r>
          <rPr>
            <sz val="9"/>
            <color indexed="81"/>
            <rFont val="ＭＳ Ｐゴシック"/>
            <family val="3"/>
            <charset val="128"/>
          </rPr>
          <t>有給休暇</t>
        </r>
        <r>
          <rPr>
            <sz val="9"/>
            <color indexed="81"/>
            <rFont val="Tahoma"/>
            <family val="2"/>
          </rPr>
          <t xml:space="preserve"> </t>
        </r>
        <r>
          <rPr>
            <sz val="9"/>
            <color indexed="81"/>
            <rFont val="ＭＳ Ｐゴシック"/>
            <family val="3"/>
            <charset val="128"/>
          </rPr>
          <t>（</t>
        </r>
        <r>
          <rPr>
            <sz val="9"/>
            <color indexed="81"/>
            <rFont val="Tahoma"/>
            <family val="2"/>
          </rPr>
          <t xml:space="preserve">Annual leaves)
</t>
        </r>
        <r>
          <rPr>
            <sz val="9"/>
            <color indexed="81"/>
            <rFont val="ＭＳ Ｐゴシック"/>
            <family val="3"/>
            <charset val="128"/>
          </rPr>
          <t>（</t>
        </r>
        <r>
          <rPr>
            <sz val="9"/>
            <color indexed="81"/>
            <rFont val="Tahoma"/>
            <family val="2"/>
          </rPr>
          <t>format: hh:mm)</t>
        </r>
      </text>
    </comment>
    <comment ref="J10" authorId="3">
      <text>
        <r>
          <rPr>
            <b/>
            <sz val="9"/>
            <color indexed="81"/>
            <rFont val="ＭＳ Ｐゴシック"/>
            <family val="3"/>
            <charset val="128"/>
          </rPr>
          <t>Actual working time in working site</t>
        </r>
      </text>
    </comment>
    <comment ref="K10" authorId="3">
      <text>
        <r>
          <rPr>
            <b/>
            <sz val="9"/>
            <color indexed="81"/>
            <rFont val="ＭＳ Ｐゴシック"/>
            <family val="3"/>
            <charset val="128"/>
          </rPr>
          <t>Actual working time</t>
        </r>
      </text>
    </comment>
    <comment ref="L10" authorId="3">
      <text>
        <r>
          <rPr>
            <b/>
            <sz val="9"/>
            <color indexed="81"/>
            <rFont val="ＭＳ Ｐゴシック"/>
            <family val="3"/>
            <charset val="128"/>
          </rPr>
          <t>Absent hour</t>
        </r>
      </text>
    </comment>
    <comment ref="M10" authorId="3">
      <text>
        <r>
          <rPr>
            <b/>
            <sz val="9"/>
            <color indexed="81"/>
            <rFont val="ＭＳ Ｐゴシック"/>
            <family val="3"/>
            <charset val="128"/>
          </rPr>
          <t>Over time hour on ordinary days</t>
        </r>
      </text>
    </comment>
    <comment ref="N10" authorId="3">
      <text>
        <r>
          <rPr>
            <b/>
            <sz val="9"/>
            <color indexed="81"/>
            <rFont val="ＭＳ Ｐゴシック"/>
            <family val="3"/>
            <charset val="128"/>
          </rPr>
          <t>Night working hour</t>
        </r>
      </text>
    </comment>
    <comment ref="O10" authorId="3">
      <text>
        <r>
          <rPr>
            <b/>
            <sz val="9"/>
            <color indexed="81"/>
            <rFont val="ＭＳ Ｐゴシック"/>
            <family val="3"/>
            <charset val="128"/>
          </rPr>
          <t>Actual working time on Saturday, Public Holiday</t>
        </r>
      </text>
    </comment>
    <comment ref="P10" authorId="3">
      <text>
        <r>
          <rPr>
            <b/>
            <sz val="9"/>
            <color indexed="81"/>
            <rFont val="ＭＳ Ｐゴシック"/>
            <family val="3"/>
            <charset val="128"/>
          </rPr>
          <t>Actual working time on Sunday</t>
        </r>
      </text>
    </comment>
    <comment ref="Q10" authorId="2">
      <text>
        <r>
          <rPr>
            <b/>
            <sz val="9"/>
            <color indexed="81"/>
            <rFont val="Tahoma"/>
            <family val="2"/>
          </rPr>
          <t xml:space="preserve">Working on holiday for </t>
        </r>
        <r>
          <rPr>
            <b/>
            <sz val="9"/>
            <color indexed="81"/>
            <rFont val="Tahoma"/>
            <family val="2"/>
          </rPr>
          <t>substitute holiday</t>
        </r>
      </text>
    </comment>
    <comment ref="R10" authorId="3">
      <text>
        <r>
          <rPr>
            <b/>
            <sz val="9"/>
            <color indexed="81"/>
            <rFont val="ＭＳ Ｐゴシック"/>
            <family val="3"/>
            <charset val="128"/>
          </rPr>
          <t>1. 有給休暇
2. 代休
3. 他（明確に記入）</t>
        </r>
      </text>
    </comment>
    <comment ref="H46" authorId="1">
      <text>
        <r>
          <rPr>
            <b/>
            <sz val="8"/>
            <color indexed="81"/>
            <rFont val="Tahoma"/>
            <family val="2"/>
          </rPr>
          <t>Get approval from customer</t>
        </r>
      </text>
    </comment>
  </commentList>
</comments>
</file>

<file path=xl/comments2.xml><?xml version="1.0" encoding="utf-8"?>
<comments xmlns="http://schemas.openxmlformats.org/spreadsheetml/2006/main">
  <authors>
    <author>kinh</author>
    <author>ｆｐｔ</author>
    <author>Nhung</author>
    <author>Nguyen Duc Kinh</author>
  </authors>
  <commentList>
    <comment ref="D7" authorId="0">
      <text>
        <r>
          <rPr>
            <sz val="9"/>
            <color indexed="81"/>
            <rFont val="ＭＳ Ｐゴシック"/>
            <family val="3"/>
            <charset val="128"/>
          </rPr>
          <t>Fill starting day of the working period. Should be 1, 16 or 21 or 24...,depend on working site</t>
        </r>
      </text>
    </comment>
    <comment ref="E7" authorId="0">
      <text>
        <r>
          <rPr>
            <sz val="9"/>
            <color indexed="81"/>
            <rFont val="ＭＳ Ｐゴシック"/>
            <family val="3"/>
            <charset val="128"/>
          </rPr>
          <t>Fill the month of day is started</t>
        </r>
      </text>
    </comment>
    <comment ref="F7" authorId="1">
      <text>
        <r>
          <rPr>
            <sz val="8"/>
            <color indexed="81"/>
            <rFont val="Tahoma"/>
            <family val="2"/>
          </rPr>
          <t>Fill working year</t>
        </r>
      </text>
    </comment>
    <comment ref="R7" authorId="2">
      <text>
        <r>
          <rPr>
            <sz val="9"/>
            <color indexed="81"/>
            <rFont val="Tahoma"/>
            <family val="2"/>
          </rPr>
          <t>format hh:mm
input the standard working hour of working site:
 - FJP office or Ukeoi: 8:00
 - Haken: Based on regulation of customer.)</t>
        </r>
      </text>
    </comment>
    <comment ref="T7" authorId="0">
      <text>
        <r>
          <rPr>
            <sz val="9"/>
            <color indexed="81"/>
            <rFont val="ＭＳ Ｐゴシック"/>
            <family val="3"/>
            <charset val="128"/>
          </rPr>
          <t>Fill the month of day is started</t>
        </r>
      </text>
    </comment>
    <comment ref="U7" authorId="1">
      <text>
        <r>
          <rPr>
            <sz val="8"/>
            <color indexed="81"/>
            <rFont val="Tahoma"/>
            <family val="2"/>
          </rPr>
          <t xml:space="preserve">Fill working year
</t>
        </r>
      </text>
    </comment>
    <comment ref="C10" authorId="1">
      <text>
        <r>
          <rPr>
            <b/>
            <sz val="8"/>
            <color indexed="81"/>
            <rFont val="Tahoma"/>
            <family val="2"/>
          </rPr>
          <t>Mark * for FJP's holidays, the day is out of Timesheet period.</t>
        </r>
      </text>
    </comment>
    <comment ref="D10" authorId="3">
      <text>
        <r>
          <rPr>
            <b/>
            <sz val="9"/>
            <color indexed="81"/>
            <rFont val="ＭＳ Ｐゴシック"/>
            <family val="3"/>
            <charset val="128"/>
          </rPr>
          <t>In
（format: hh:mm)</t>
        </r>
      </text>
    </comment>
    <comment ref="E10" authorId="3">
      <text>
        <r>
          <rPr>
            <b/>
            <sz val="9"/>
            <color indexed="81"/>
            <rFont val="ＭＳ Ｐゴシック"/>
            <family val="3"/>
            <charset val="128"/>
          </rPr>
          <t>Out
（format: hh:mm)
24:00-&gt;input 00:00</t>
        </r>
      </text>
    </comment>
    <comment ref="F10" authorId="3">
      <text>
        <r>
          <rPr>
            <b/>
            <sz val="9"/>
            <color indexed="81"/>
            <rFont val="ＭＳ Ｐゴシック"/>
            <family val="3"/>
            <charset val="128"/>
          </rPr>
          <t>Total of Break time, e.g: "1:15"
（format: hh:mm)</t>
        </r>
      </text>
    </comment>
    <comment ref="G10" authorId="3">
      <text>
        <r>
          <rPr>
            <b/>
            <sz val="9"/>
            <color indexed="81"/>
            <rFont val="ＭＳ Ｐゴシック"/>
            <family val="3"/>
            <charset val="128"/>
          </rPr>
          <t>業務上外出時間
Going out for job duty.
（format: hh:mm)</t>
        </r>
      </text>
    </comment>
    <comment ref="H10" authorId="3">
      <text>
        <r>
          <rPr>
            <b/>
            <sz val="9"/>
            <color indexed="81"/>
            <rFont val="ＭＳ Ｐゴシック"/>
            <family val="3"/>
            <charset val="128"/>
          </rPr>
          <t>振替休日
Substitute holiday.
（format: hh:mm)</t>
        </r>
      </text>
    </comment>
    <comment ref="I10" authorId="2">
      <text>
        <r>
          <rPr>
            <sz val="9"/>
            <color indexed="81"/>
            <rFont val="ＭＳ Ｐゴシック"/>
            <family val="3"/>
            <charset val="128"/>
          </rPr>
          <t>有給休暇</t>
        </r>
        <r>
          <rPr>
            <sz val="9"/>
            <color indexed="81"/>
            <rFont val="Tahoma"/>
            <family val="2"/>
          </rPr>
          <t xml:space="preserve"> </t>
        </r>
        <r>
          <rPr>
            <sz val="9"/>
            <color indexed="81"/>
            <rFont val="ＭＳ Ｐゴシック"/>
            <family val="3"/>
            <charset val="128"/>
          </rPr>
          <t>（</t>
        </r>
        <r>
          <rPr>
            <sz val="9"/>
            <color indexed="81"/>
            <rFont val="Tahoma"/>
            <family val="2"/>
          </rPr>
          <t xml:space="preserve">Annual leaves)
</t>
        </r>
        <r>
          <rPr>
            <sz val="9"/>
            <color indexed="81"/>
            <rFont val="ＭＳ Ｐゴシック"/>
            <family val="3"/>
            <charset val="128"/>
          </rPr>
          <t>（</t>
        </r>
        <r>
          <rPr>
            <sz val="9"/>
            <color indexed="81"/>
            <rFont val="Tahoma"/>
            <family val="2"/>
          </rPr>
          <t>format: hh:mm)</t>
        </r>
      </text>
    </comment>
    <comment ref="J10" authorId="3">
      <text>
        <r>
          <rPr>
            <b/>
            <sz val="9"/>
            <color indexed="81"/>
            <rFont val="ＭＳ Ｐゴシック"/>
            <family val="3"/>
            <charset val="128"/>
          </rPr>
          <t>Actual working time in working site</t>
        </r>
      </text>
    </comment>
    <comment ref="K10" authorId="3">
      <text>
        <r>
          <rPr>
            <b/>
            <sz val="9"/>
            <color indexed="81"/>
            <rFont val="ＭＳ Ｐゴシック"/>
            <family val="3"/>
            <charset val="128"/>
          </rPr>
          <t>Actual working time</t>
        </r>
      </text>
    </comment>
    <comment ref="L10" authorId="3">
      <text>
        <r>
          <rPr>
            <b/>
            <sz val="9"/>
            <color indexed="81"/>
            <rFont val="ＭＳ Ｐゴシック"/>
            <family val="3"/>
            <charset val="128"/>
          </rPr>
          <t>Absent hour</t>
        </r>
      </text>
    </comment>
    <comment ref="M10" authorId="3">
      <text>
        <r>
          <rPr>
            <b/>
            <sz val="9"/>
            <color indexed="81"/>
            <rFont val="ＭＳ Ｐゴシック"/>
            <family val="3"/>
            <charset val="128"/>
          </rPr>
          <t>Over time hour on ordinary days</t>
        </r>
      </text>
    </comment>
    <comment ref="N10" authorId="3">
      <text>
        <r>
          <rPr>
            <b/>
            <sz val="9"/>
            <color indexed="81"/>
            <rFont val="ＭＳ Ｐゴシック"/>
            <family val="3"/>
            <charset val="128"/>
          </rPr>
          <t>Night working hour</t>
        </r>
      </text>
    </comment>
    <comment ref="O10" authorId="3">
      <text>
        <r>
          <rPr>
            <b/>
            <sz val="9"/>
            <color indexed="81"/>
            <rFont val="ＭＳ Ｐゴシック"/>
            <family val="3"/>
            <charset val="128"/>
          </rPr>
          <t>Actual working time on Saturday, Public Holiday</t>
        </r>
      </text>
    </comment>
    <comment ref="P10" authorId="3">
      <text>
        <r>
          <rPr>
            <b/>
            <sz val="9"/>
            <color indexed="81"/>
            <rFont val="ＭＳ Ｐゴシック"/>
            <family val="3"/>
            <charset val="128"/>
          </rPr>
          <t>Actual working time on Sunday</t>
        </r>
      </text>
    </comment>
    <comment ref="Q10" authorId="2">
      <text>
        <r>
          <rPr>
            <b/>
            <sz val="9"/>
            <color indexed="81"/>
            <rFont val="Tahoma"/>
            <family val="2"/>
          </rPr>
          <t xml:space="preserve">Working on holiday for </t>
        </r>
        <r>
          <rPr>
            <b/>
            <sz val="9"/>
            <color indexed="81"/>
            <rFont val="Tahoma"/>
            <family val="2"/>
          </rPr>
          <t>substitute holiday</t>
        </r>
      </text>
    </comment>
    <comment ref="R10" authorId="3">
      <text>
        <r>
          <rPr>
            <b/>
            <sz val="9"/>
            <color indexed="81"/>
            <rFont val="ＭＳ Ｐゴシック"/>
            <family val="3"/>
            <charset val="128"/>
          </rPr>
          <t>1. 有給休暇
2. 代休
3. 他（明確に記入）</t>
        </r>
      </text>
    </comment>
    <comment ref="H46" authorId="1">
      <text>
        <r>
          <rPr>
            <b/>
            <sz val="8"/>
            <color indexed="81"/>
            <rFont val="Tahoma"/>
            <family val="2"/>
          </rPr>
          <t>Get approval from customer</t>
        </r>
      </text>
    </comment>
  </commentList>
</comments>
</file>

<file path=xl/comments3.xml><?xml version="1.0" encoding="utf-8"?>
<comments xmlns="http://schemas.openxmlformats.org/spreadsheetml/2006/main">
  <authors>
    <author>Author</author>
  </authors>
  <commentList>
    <comment ref="A7" authorId="0">
      <text>
        <r>
          <rPr>
            <b/>
            <sz val="9"/>
            <color indexed="81"/>
            <rFont val="Tahoma"/>
            <family val="2"/>
          </rPr>
          <t>Format:
Year/Month/Date</t>
        </r>
        <r>
          <rPr>
            <sz val="9"/>
            <color indexed="81"/>
            <rFont val="Tahoma"/>
            <family val="2"/>
          </rPr>
          <t xml:space="preserve">
</t>
        </r>
      </text>
    </comment>
    <comment ref="B7" authorId="0">
      <text>
        <r>
          <rPr>
            <b/>
            <sz val="9"/>
            <color indexed="81"/>
            <rFont val="Tahoma"/>
            <family val="2"/>
          </rPr>
          <t>Format:
Year/Month/Date</t>
        </r>
        <r>
          <rPr>
            <sz val="9"/>
            <color indexed="81"/>
            <rFont val="Tahoma"/>
            <family val="2"/>
          </rPr>
          <t xml:space="preserve">
</t>
        </r>
      </text>
    </comment>
    <comment ref="D7" authorId="0">
      <text>
        <r>
          <rPr>
            <b/>
            <sz val="9"/>
            <color indexed="81"/>
            <rFont val="Tahoma"/>
            <family val="2"/>
          </rPr>
          <t>Format:
hh:mm</t>
        </r>
      </text>
    </comment>
    <comment ref="O7" authorId="0">
      <text>
        <r>
          <rPr>
            <b/>
            <sz val="9"/>
            <color indexed="81"/>
            <rFont val="Tahoma"/>
            <family val="2"/>
          </rPr>
          <t>Format:
Year/Month/Date</t>
        </r>
        <r>
          <rPr>
            <sz val="9"/>
            <color indexed="81"/>
            <rFont val="Tahoma"/>
            <family val="2"/>
          </rPr>
          <t xml:space="preserve">
</t>
        </r>
      </text>
    </comment>
  </commentList>
</comments>
</file>

<file path=xl/comments4.xml><?xml version="1.0" encoding="utf-8"?>
<comments xmlns="http://schemas.openxmlformats.org/spreadsheetml/2006/main">
  <authors>
    <author>Author</author>
  </authors>
  <commentList>
    <comment ref="A7" authorId="0">
      <text>
        <r>
          <rPr>
            <b/>
            <sz val="9"/>
            <color indexed="81"/>
            <rFont val="Tahoma"/>
            <family val="2"/>
          </rPr>
          <t>Format:
Year/Month/Date</t>
        </r>
        <r>
          <rPr>
            <sz val="9"/>
            <color indexed="81"/>
            <rFont val="Tahoma"/>
            <family val="2"/>
          </rPr>
          <t xml:space="preserve">
</t>
        </r>
      </text>
    </comment>
    <comment ref="B7" authorId="0">
      <text>
        <r>
          <rPr>
            <b/>
            <sz val="9"/>
            <color indexed="81"/>
            <rFont val="Tahoma"/>
            <family val="2"/>
          </rPr>
          <t>Format:
Year/Month/Date</t>
        </r>
        <r>
          <rPr>
            <sz val="9"/>
            <color indexed="81"/>
            <rFont val="Tahoma"/>
            <family val="2"/>
          </rPr>
          <t xml:space="preserve">
</t>
        </r>
      </text>
    </comment>
    <comment ref="D7" authorId="0">
      <text>
        <r>
          <rPr>
            <b/>
            <sz val="9"/>
            <color indexed="81"/>
            <rFont val="Tahoma"/>
            <family val="2"/>
          </rPr>
          <t>Format:
hh:mm</t>
        </r>
      </text>
    </comment>
    <comment ref="O7" authorId="0">
      <text>
        <r>
          <rPr>
            <b/>
            <sz val="9"/>
            <color indexed="81"/>
            <rFont val="Tahoma"/>
            <family val="2"/>
          </rPr>
          <t>Format:
Year/Month/Date</t>
        </r>
        <r>
          <rPr>
            <sz val="9"/>
            <color indexed="81"/>
            <rFont val="Tahoma"/>
            <family val="2"/>
          </rPr>
          <t xml:space="preserve">
</t>
        </r>
      </text>
    </comment>
  </commentList>
</comments>
</file>

<file path=xl/sharedStrings.xml><?xml version="1.0" encoding="utf-8"?>
<sst xmlns="http://schemas.openxmlformats.org/spreadsheetml/2006/main" count="364" uniqueCount="208">
  <si>
    <t>日</t>
  </si>
  <si>
    <t>曜</t>
  </si>
  <si>
    <t>Project :</t>
    <phoneticPr fontId="3"/>
  </si>
  <si>
    <r>
      <t>確認</t>
    </r>
    <r>
      <rPr>
        <sz val="11"/>
        <rFont val=".VnArial Narrow"/>
        <family val="2"/>
      </rPr>
      <t xml:space="preserve">
Checked by</t>
    </r>
    <rPh sb="0" eb="2">
      <t>カクニン</t>
    </rPh>
    <phoneticPr fontId="3"/>
  </si>
  <si>
    <t>Total</t>
  </si>
  <si>
    <r>
      <t>発行</t>
    </r>
    <r>
      <rPr>
        <sz val="11"/>
        <rFont val=".VnArial Narrow"/>
        <family val="2"/>
      </rPr>
      <t xml:space="preserve">
Issued by</t>
    </r>
    <rPh sb="0" eb="2">
      <t>ハッコウ</t>
    </rPh>
    <phoneticPr fontId="3"/>
  </si>
  <si>
    <r>
      <t>承認</t>
    </r>
    <r>
      <rPr>
        <sz val="11"/>
        <rFont val=".VnArial Narrow"/>
        <family val="2"/>
      </rPr>
      <t xml:space="preserve">
Approved by</t>
    </r>
    <rPh sb="0" eb="2">
      <t>ショウニン</t>
    </rPh>
    <phoneticPr fontId="3"/>
  </si>
  <si>
    <t>平日？</t>
    <rPh sb="0" eb="2">
      <t>ヘイジツ</t>
    </rPh>
    <phoneticPr fontId="3"/>
  </si>
  <si>
    <t>*</t>
    <phoneticPr fontId="3"/>
  </si>
  <si>
    <t>従業員出勤簿</t>
    <rPh sb="0" eb="3">
      <t>ジュウギョウイン</t>
    </rPh>
    <rPh sb="3" eb="5">
      <t>シュッキン</t>
    </rPh>
    <rPh sb="5" eb="6">
      <t>ボ</t>
    </rPh>
    <phoneticPr fontId="3"/>
  </si>
  <si>
    <t>TIMESHEET</t>
    <phoneticPr fontId="3"/>
  </si>
  <si>
    <t>出社
[2]</t>
    <rPh sb="0" eb="2">
      <t>シュッシャ</t>
    </rPh>
    <phoneticPr fontId="3"/>
  </si>
  <si>
    <t>[4]　時間外勤務する場合、必ず時間外勤務前の休憩時間（最低15分）をお昼休憩に加算して、記入して下さい。</t>
    <rPh sb="4" eb="6">
      <t>ジカン</t>
    </rPh>
    <rPh sb="6" eb="7">
      <t>ガイ</t>
    </rPh>
    <rPh sb="7" eb="9">
      <t>キンム</t>
    </rPh>
    <rPh sb="11" eb="13">
      <t>バアイ</t>
    </rPh>
    <rPh sb="14" eb="15">
      <t>カナラ</t>
    </rPh>
    <rPh sb="16" eb="18">
      <t>ジカン</t>
    </rPh>
    <rPh sb="18" eb="19">
      <t>ガイ</t>
    </rPh>
    <rPh sb="19" eb="21">
      <t>キンム</t>
    </rPh>
    <rPh sb="21" eb="22">
      <t>マエ</t>
    </rPh>
    <rPh sb="23" eb="25">
      <t>キュウケイ</t>
    </rPh>
    <rPh sb="25" eb="27">
      <t>ジカン</t>
    </rPh>
    <rPh sb="28" eb="30">
      <t>サイテイ</t>
    </rPh>
    <rPh sb="32" eb="33">
      <t>フン</t>
    </rPh>
    <rPh sb="36" eb="37">
      <t>ヒル</t>
    </rPh>
    <rPh sb="37" eb="39">
      <t>キュウケイ</t>
    </rPh>
    <rPh sb="40" eb="42">
      <t>カサン</t>
    </rPh>
    <rPh sb="45" eb="47">
      <t>キニュウ</t>
    </rPh>
    <rPh sb="49" eb="50">
      <t>クダ</t>
    </rPh>
    <phoneticPr fontId="3"/>
  </si>
  <si>
    <r>
      <t xml:space="preserve">累計残日数
</t>
    </r>
    <r>
      <rPr>
        <sz val="8"/>
        <rFont val="Arial Narrow"/>
        <family val="2"/>
      </rPr>
      <t>The cumulative total day (day)</t>
    </r>
    <rPh sb="0" eb="2">
      <t>ルイケイ</t>
    </rPh>
    <rPh sb="2" eb="3">
      <t>ザン</t>
    </rPh>
    <rPh sb="3" eb="5">
      <t>ニッスウ</t>
    </rPh>
    <phoneticPr fontId="3"/>
  </si>
  <si>
    <r>
      <t xml:space="preserve">休日出勤した日
</t>
    </r>
    <r>
      <rPr>
        <sz val="8"/>
        <rFont val="Arial Narrow"/>
        <family val="2"/>
      </rPr>
      <t>The day when had worked on holiday</t>
    </r>
    <rPh sb="0" eb="2">
      <t>キュウジツ</t>
    </rPh>
    <rPh sb="2" eb="4">
      <t>シュッキン</t>
    </rPh>
    <rPh sb="6" eb="7">
      <t>ヒ</t>
    </rPh>
    <phoneticPr fontId="3"/>
  </si>
  <si>
    <r>
      <t xml:space="preserve">振替休日（日数）
</t>
    </r>
    <r>
      <rPr>
        <sz val="8"/>
        <rFont val="Arial Narrow"/>
        <family val="2"/>
      </rPr>
      <t>Total substitute holiday of this period (day)</t>
    </r>
    <rPh sb="0" eb="2">
      <t>フリカエ</t>
    </rPh>
    <rPh sb="2" eb="4">
      <t>キュウジツ</t>
    </rPh>
    <rPh sb="5" eb="7">
      <t>ニッスウ</t>
    </rPh>
    <phoneticPr fontId="3"/>
  </si>
  <si>
    <t>　　 個別協定申請書を提出すること。90時間になると、直ちに当月の所定時間外勤務を中止しなければなりません。</t>
    <rPh sb="30" eb="32">
      <t>トウゲツ</t>
    </rPh>
    <phoneticPr fontId="3"/>
  </si>
  <si>
    <t xml:space="preserve">Working Site : </t>
  </si>
  <si>
    <t>FJP休日・祝
[1]</t>
    <phoneticPr fontId="3"/>
  </si>
  <si>
    <t>退社
[3]</t>
    <phoneticPr fontId="3"/>
  </si>
  <si>
    <t>休憩
[4]</t>
    <phoneticPr fontId="3"/>
  </si>
  <si>
    <t>業務上
外出
[5]</t>
    <rPh sb="0" eb="3">
      <t>ギョウムジョウ</t>
    </rPh>
    <phoneticPr fontId="3"/>
  </si>
  <si>
    <t>振替
休日
[6]</t>
    <rPh sb="0" eb="2">
      <t>フリカエ</t>
    </rPh>
    <rPh sb="3" eb="5">
      <t>キュウジツ</t>
    </rPh>
    <phoneticPr fontId="3"/>
  </si>
  <si>
    <t>有給
休暇
[7]</t>
    <rPh sb="3" eb="5">
      <t>キュウカ</t>
    </rPh>
    <phoneticPr fontId="3"/>
  </si>
  <si>
    <t>Working Siteでの実働
[8]</t>
    <rPh sb="14" eb="16">
      <t>ジツドウ</t>
    </rPh>
    <phoneticPr fontId="3"/>
  </si>
  <si>
    <t>実働
([8}+[5])
[9]</t>
    <rPh sb="0" eb="2">
      <t>ジツドウ</t>
    </rPh>
    <phoneticPr fontId="3"/>
  </si>
  <si>
    <t>平日
無給
[10]</t>
    <rPh sb="0" eb="2">
      <t>ヘイジツ</t>
    </rPh>
    <phoneticPr fontId="3"/>
  </si>
  <si>
    <t>平日
通常
残業
[11]</t>
    <rPh sb="3" eb="5">
      <t>ツウジョウ</t>
    </rPh>
    <rPh sb="6" eb="8">
      <t>ザンギョウ</t>
    </rPh>
    <phoneticPr fontId="3"/>
  </si>
  <si>
    <t>平日
深夜
残業
[12]</t>
    <rPh sb="0" eb="2">
      <t>ヘイジツ</t>
    </rPh>
    <rPh sb="6" eb="8">
      <t>ザンギョウ</t>
    </rPh>
    <phoneticPr fontId="3"/>
  </si>
  <si>
    <t>土・祝
実働
[13]</t>
    <rPh sb="4" eb="6">
      <t>ジツドウ</t>
    </rPh>
    <phoneticPr fontId="3"/>
  </si>
  <si>
    <t>日曜
実働
[14]</t>
    <rPh sb="0" eb="2">
      <t>ニチヨウ</t>
    </rPh>
    <rPh sb="3" eb="5">
      <t>ジツドウ</t>
    </rPh>
    <phoneticPr fontId="3"/>
  </si>
  <si>
    <t>振替休日対象の休日出勤
[15]</t>
    <phoneticPr fontId="3"/>
  </si>
  <si>
    <t>備考/Note 
(休みの種別など記入）
Fill status of leaves, ect.
[16]</t>
    <rPh sb="0" eb="2">
      <t>ビコウ</t>
    </rPh>
    <rPh sb="10" eb="11">
      <t>ヤス</t>
    </rPh>
    <rPh sb="13" eb="15">
      <t>シュベツ</t>
    </rPh>
    <rPh sb="17" eb="19">
      <t>キニュウ</t>
    </rPh>
    <phoneticPr fontId="3"/>
  </si>
  <si>
    <t>Total of over time [17]</t>
    <phoneticPr fontId="3"/>
  </si>
  <si>
    <t>振替休日対象の休日出勤記録  [18]
Record of working on holiday for substitute holiday</t>
    <rPh sb="11" eb="13">
      <t>キロク</t>
    </rPh>
    <phoneticPr fontId="3"/>
  </si>
  <si>
    <t>[1]～[7]＆[15]＆[16]の欄と[18]の備考に当月の勤務時間のデータを記入して下さい。</t>
    <rPh sb="18" eb="19">
      <t>ラン</t>
    </rPh>
    <rPh sb="25" eb="27">
      <t>ビコウ</t>
    </rPh>
    <rPh sb="28" eb="30">
      <t>トウゲツ</t>
    </rPh>
    <rPh sb="31" eb="33">
      <t>キンム</t>
    </rPh>
    <rPh sb="33" eb="35">
      <t>ジカン</t>
    </rPh>
    <rPh sb="40" eb="42">
      <t>キニュウ</t>
    </rPh>
    <rPh sb="44" eb="45">
      <t>クダ</t>
    </rPh>
    <phoneticPr fontId="3"/>
  </si>
  <si>
    <t xml:space="preserve">[10] 平日無給: 所定勤務日に早退・遅刻・欠勤などが対象になる。
</t>
    <rPh sb="11" eb="13">
      <t>ショテイ</t>
    </rPh>
    <rPh sb="13" eb="15">
      <t>キンム</t>
    </rPh>
    <rPh sb="15" eb="16">
      <t>ビ</t>
    </rPh>
    <rPh sb="17" eb="19">
      <t>ソウタイ</t>
    </rPh>
    <rPh sb="20" eb="22">
      <t>チコク</t>
    </rPh>
    <rPh sb="23" eb="25">
      <t>ケッキン</t>
    </rPh>
    <rPh sb="28" eb="30">
      <t>タイショウ</t>
    </rPh>
    <phoneticPr fontId="3"/>
  </si>
  <si>
    <t>[17] 所定時間外勤務時間の管理は当社の36協定に定める範囲内を厳守すること。45時間を越える見込みがある時、直ちに36協定に定められる</t>
    <rPh sb="5" eb="7">
      <t>ショテイ</t>
    </rPh>
    <rPh sb="7" eb="9">
      <t>ジカン</t>
    </rPh>
    <rPh sb="9" eb="10">
      <t>ガイ</t>
    </rPh>
    <rPh sb="10" eb="12">
      <t>キンム</t>
    </rPh>
    <rPh sb="12" eb="14">
      <t>ジカン</t>
    </rPh>
    <rPh sb="15" eb="17">
      <t>カンリ</t>
    </rPh>
    <rPh sb="42" eb="44">
      <t>ジカン</t>
    </rPh>
    <rPh sb="45" eb="46">
      <t>コ</t>
    </rPh>
    <rPh sb="48" eb="50">
      <t>ミコ</t>
    </rPh>
    <rPh sb="54" eb="55">
      <t>トキ</t>
    </rPh>
    <rPh sb="56" eb="57">
      <t>タダ</t>
    </rPh>
    <rPh sb="61" eb="63">
      <t>キョウテイ</t>
    </rPh>
    <rPh sb="64" eb="65">
      <t>サダ</t>
    </rPh>
    <phoneticPr fontId="3"/>
  </si>
  <si>
    <t>時間外勤務・休日勤務届け</t>
  </si>
  <si>
    <r>
      <t>氏名</t>
    </r>
    <r>
      <rPr>
        <b/>
        <sz val="11"/>
        <color indexed="8"/>
        <rFont val="Tahoma"/>
        <family val="2"/>
      </rPr>
      <t>:</t>
    </r>
  </si>
  <si>
    <r>
      <t>社員番号</t>
    </r>
    <r>
      <rPr>
        <b/>
        <sz val="11"/>
        <color indexed="8"/>
        <rFont val="Tahoma"/>
        <family val="2"/>
      </rPr>
      <t>:</t>
    </r>
  </si>
  <si>
    <r>
      <t>部署</t>
    </r>
    <r>
      <rPr>
        <b/>
        <sz val="11"/>
        <color indexed="8"/>
        <rFont val="Tahoma"/>
        <family val="2"/>
      </rPr>
      <t>:</t>
    </r>
  </si>
  <si>
    <t>～</t>
    <phoneticPr fontId="3"/>
  </si>
  <si>
    <t>Timesheet of month:</t>
    <phoneticPr fontId="3"/>
  </si>
  <si>
    <t>Lunch time:</t>
    <phoneticPr fontId="3"/>
  </si>
  <si>
    <t>申請事項</t>
    <rPh sb="2" eb="4">
      <t>ジコウ</t>
    </rPh>
    <phoneticPr fontId="3"/>
  </si>
  <si>
    <t>結果事項</t>
    <rPh sb="0" eb="2">
      <t>ケッカ</t>
    </rPh>
    <rPh sb="2" eb="4">
      <t>ジコウ</t>
    </rPh>
    <phoneticPr fontId="3"/>
  </si>
  <si>
    <t>申請日</t>
    <phoneticPr fontId="3"/>
  </si>
  <si>
    <t>勤務日</t>
    <phoneticPr fontId="3"/>
  </si>
  <si>
    <t>曜日</t>
    <rPh sb="0" eb="2">
      <t>ヨウビ</t>
    </rPh>
    <phoneticPr fontId="3"/>
  </si>
  <si>
    <t>時間外・休日労働時間帯</t>
    <phoneticPr fontId="3"/>
  </si>
  <si>
    <t>時間外・休日労働の事由</t>
    <phoneticPr fontId="3"/>
  </si>
  <si>
    <t>承認印</t>
    <phoneticPr fontId="3"/>
  </si>
  <si>
    <t>実働時間</t>
    <rPh sb="0" eb="2">
      <t>ジツドウ</t>
    </rPh>
    <rPh sb="2" eb="4">
      <t>ジカン</t>
    </rPh>
    <phoneticPr fontId="3"/>
  </si>
  <si>
    <t>申請者のサイン</t>
    <rPh sb="0" eb="3">
      <t>シンセイシャ</t>
    </rPh>
    <phoneticPr fontId="3"/>
  </si>
  <si>
    <t>Total</t>
    <phoneticPr fontId="3"/>
  </si>
  <si>
    <t>１、原則として、事前に申請し承認を受けてください。</t>
    <phoneticPr fontId="3"/>
  </si>
  <si>
    <t>２、やむを得ず事前に承認を受けることができない場合は、口頭にて仮承認を受け、事後直ちに承認を受けてください。</t>
    <phoneticPr fontId="3"/>
  </si>
  <si>
    <t>３、承認印を受けた後、翌月の5日までに人事に提出して下さい。</t>
    <rPh sb="11" eb="13">
      <t>ヨクゲツ</t>
    </rPh>
    <rPh sb="15" eb="16">
      <t>ニチ</t>
    </rPh>
    <rPh sb="22" eb="24">
      <t>テイシュツ</t>
    </rPh>
    <rPh sb="26" eb="27">
      <t>クダ</t>
    </rPh>
    <phoneticPr fontId="3"/>
  </si>
  <si>
    <t>４、実働時間を出勤簿の該当の日に勤務時間を追記して下さい。原則としては、この届けに載っていない時間外は認められませんのでご注意下さい。</t>
    <rPh sb="2" eb="4">
      <t>ジツドウ</t>
    </rPh>
    <rPh sb="4" eb="6">
      <t>ジカン</t>
    </rPh>
    <rPh sb="7" eb="9">
      <t>シュッキン</t>
    </rPh>
    <rPh sb="9" eb="10">
      <t>ボ</t>
    </rPh>
    <rPh sb="11" eb="13">
      <t>ガイトウ</t>
    </rPh>
    <rPh sb="14" eb="15">
      <t>ヒ</t>
    </rPh>
    <rPh sb="16" eb="18">
      <t>キンム</t>
    </rPh>
    <rPh sb="18" eb="20">
      <t>ジカン</t>
    </rPh>
    <rPh sb="21" eb="23">
      <t>ツイキ</t>
    </rPh>
    <rPh sb="25" eb="26">
      <t>クダ</t>
    </rPh>
    <rPh sb="29" eb="31">
      <t>ゲンソク</t>
    </rPh>
    <rPh sb="38" eb="39">
      <t>トドケ</t>
    </rPh>
    <rPh sb="41" eb="42">
      <t>ノ</t>
    </rPh>
    <rPh sb="47" eb="49">
      <t>ジカン</t>
    </rPh>
    <rPh sb="49" eb="50">
      <t>ガイ</t>
    </rPh>
    <rPh sb="51" eb="52">
      <t>ミト</t>
    </rPh>
    <rPh sb="61" eb="63">
      <t>チュウイ</t>
    </rPh>
    <rPh sb="63" eb="64">
      <t>クダ</t>
    </rPh>
    <phoneticPr fontId="3"/>
  </si>
  <si>
    <t>平日
通常
残業</t>
    <rPh sb="3" eb="5">
      <t>ツウジョウ</t>
    </rPh>
    <rPh sb="6" eb="8">
      <t>ザンギョウ</t>
    </rPh>
    <phoneticPr fontId="3"/>
  </si>
  <si>
    <t>平日
深夜
残業</t>
    <rPh sb="0" eb="2">
      <t>ヘイジツ</t>
    </rPh>
    <rPh sb="6" eb="8">
      <t>ザンギョウ</t>
    </rPh>
    <phoneticPr fontId="3"/>
  </si>
  <si>
    <t>土・祝
実働</t>
    <rPh sb="4" eb="6">
      <t>ジツドウ</t>
    </rPh>
    <phoneticPr fontId="3"/>
  </si>
  <si>
    <t>日曜
実働</t>
    <rPh sb="0" eb="2">
      <t>ニチヨウ</t>
    </rPh>
    <rPh sb="3" eb="5">
      <t>ジツドウ</t>
    </rPh>
    <phoneticPr fontId="3"/>
  </si>
  <si>
    <t>Standard Working Hour of Working Site:</t>
    <phoneticPr fontId="3"/>
  </si>
  <si>
    <t>振替
休日</t>
    <phoneticPr fontId="3"/>
  </si>
  <si>
    <t>振替休日対象の休日出勤</t>
    <phoneticPr fontId="3"/>
  </si>
  <si>
    <t>各種休暇・欠勤・遅刻・早退・振替休日等の届</t>
  </si>
  <si>
    <r>
      <t>名前</t>
    </r>
    <r>
      <rPr>
        <sz val="11"/>
        <color indexed="8"/>
        <rFont val="Tahoma"/>
        <family val="2"/>
      </rPr>
      <t>:
Họ tên</t>
    </r>
  </si>
  <si>
    <r>
      <t>社員番号</t>
    </r>
    <r>
      <rPr>
        <sz val="11"/>
        <color indexed="8"/>
        <rFont val="Tahoma"/>
        <family val="2"/>
      </rPr>
      <t>:
Mã số</t>
    </r>
  </si>
  <si>
    <r>
      <t>部署</t>
    </r>
    <r>
      <rPr>
        <sz val="11"/>
        <color indexed="8"/>
        <rFont val="Tahoma"/>
        <family val="2"/>
      </rPr>
      <t>:
Bộ phận</t>
    </r>
  </si>
  <si>
    <r>
      <t>勤務先</t>
    </r>
    <r>
      <rPr>
        <sz val="11"/>
        <color indexed="8"/>
        <rFont val="Tahoma"/>
        <family val="2"/>
      </rPr>
      <t xml:space="preserve">:
</t>
    </r>
    <r>
      <rPr>
        <sz val="9"/>
        <color indexed="8"/>
        <rFont val="Tahoma"/>
        <family val="2"/>
      </rPr>
      <t>Nơi làm việc</t>
    </r>
  </si>
  <si>
    <r>
      <t>有給休暇日残数</t>
    </r>
    <r>
      <rPr>
        <sz val="8"/>
        <color indexed="8"/>
        <rFont val="Tahoma"/>
        <family val="2"/>
      </rPr>
      <t>:
Số ngày phép tồn</t>
    </r>
  </si>
  <si>
    <r>
      <t xml:space="preserve">申請期間
</t>
    </r>
    <r>
      <rPr>
        <sz val="11"/>
        <color indexed="8"/>
        <rFont val="Tahoma"/>
        <family val="2"/>
      </rPr>
      <t>Thời gian nghỉ</t>
    </r>
  </si>
  <si>
    <r>
      <t xml:space="preserve">時間・日数
</t>
    </r>
    <r>
      <rPr>
        <sz val="9"/>
        <color indexed="8"/>
        <rFont val="Tahoma"/>
        <family val="2"/>
      </rPr>
      <t>Số giờ/số ngày</t>
    </r>
  </si>
  <si>
    <r>
      <t xml:space="preserve">分類
</t>
    </r>
    <r>
      <rPr>
        <sz val="9"/>
        <color indexed="8"/>
        <rFont val="Tahoma"/>
        <family val="2"/>
      </rPr>
      <t>Phân loại nghỉ</t>
    </r>
  </si>
  <si>
    <r>
      <t xml:space="preserve">理由
</t>
    </r>
    <r>
      <rPr>
        <sz val="11"/>
        <color indexed="8"/>
        <rFont val="Tahoma"/>
        <family val="2"/>
      </rPr>
      <t>Lý do</t>
    </r>
  </si>
  <si>
    <r>
      <t xml:space="preserve">添付書類
</t>
    </r>
    <r>
      <rPr>
        <sz val="9"/>
        <color indexed="8"/>
        <rFont val="Tahoma"/>
        <family val="2"/>
      </rPr>
      <t>Hồ sơ đính kèm</t>
    </r>
  </si>
  <si>
    <r>
      <t xml:space="preserve">申請者の署名
</t>
    </r>
    <r>
      <rPr>
        <sz val="11"/>
        <color indexed="8"/>
        <rFont val="Tahoma"/>
        <family val="2"/>
      </rPr>
      <t>Người xin nghỉ</t>
    </r>
  </si>
  <si>
    <r>
      <t xml:space="preserve">確認者
</t>
    </r>
    <r>
      <rPr>
        <sz val="11"/>
        <color indexed="8"/>
        <rFont val="Tahoma"/>
        <family val="2"/>
      </rPr>
      <t>Người kiểm tra</t>
    </r>
  </si>
  <si>
    <r>
      <t xml:space="preserve">承認者
</t>
    </r>
    <r>
      <rPr>
        <sz val="11"/>
        <color indexed="8"/>
        <rFont val="Tahoma"/>
        <family val="2"/>
      </rPr>
      <t>Người phê duyệt</t>
    </r>
  </si>
  <si>
    <t>日付：</t>
  </si>
  <si>
    <r>
      <t>Phân loại nghỉ</t>
    </r>
    <r>
      <rPr>
        <b/>
        <u/>
        <sz val="11"/>
        <color indexed="8"/>
        <rFont val="MS UI Gothic"/>
        <family val="3"/>
        <charset val="128"/>
      </rPr>
      <t>分類</t>
    </r>
    <r>
      <rPr>
        <b/>
        <u/>
        <sz val="11"/>
        <color indexed="8"/>
        <rFont val="Tahoma"/>
        <family val="2"/>
      </rPr>
      <t>:</t>
    </r>
  </si>
  <si>
    <r>
      <t>➀　有給休暇</t>
    </r>
    <r>
      <rPr>
        <sz val="10"/>
        <color indexed="8"/>
        <rFont val="Tahoma"/>
        <family val="2"/>
      </rPr>
      <t>/ Nghỉ phép</t>
    </r>
    <phoneticPr fontId="3"/>
  </si>
  <si>
    <r>
      <t>④　遅刻</t>
    </r>
    <r>
      <rPr>
        <sz val="10"/>
        <color indexed="8"/>
        <rFont val="Tahoma"/>
        <family val="2"/>
      </rPr>
      <t>/ Đi muộn</t>
    </r>
  </si>
  <si>
    <r>
      <t>⑤　早退</t>
    </r>
    <r>
      <rPr>
        <sz val="10"/>
        <color indexed="8"/>
        <rFont val="Tahoma"/>
        <family val="2"/>
      </rPr>
      <t>/ Về sớm</t>
    </r>
  </si>
  <si>
    <r>
      <t>③　振替休日</t>
    </r>
    <r>
      <rPr>
        <sz val="10"/>
        <color indexed="8"/>
        <rFont val="Tahoma"/>
        <family val="2"/>
      </rPr>
      <t>/Nghỉ thay thế</t>
    </r>
  </si>
  <si>
    <r>
      <t>⑥　その他</t>
    </r>
    <r>
      <rPr>
        <sz val="10"/>
        <color indexed="8"/>
        <rFont val="Tahoma"/>
        <family val="2"/>
      </rPr>
      <t>/ Khác  ........................................</t>
    </r>
  </si>
  <si>
    <r>
      <t>注意事項</t>
    </r>
    <r>
      <rPr>
        <sz val="11"/>
        <color indexed="8"/>
        <rFont val="Tahoma"/>
        <family val="2"/>
      </rPr>
      <t>/ Chú ý</t>
    </r>
    <r>
      <rPr>
        <sz val="11"/>
        <color indexed="8"/>
        <rFont val="MS UI Gothic"/>
        <family val="3"/>
        <charset val="128"/>
      </rPr>
      <t>：</t>
    </r>
  </si>
  <si>
    <t>１．原則としては、事前に届けを提出し、承認を得てから、休暇などを取得消化すること。承認を得たら、直ちに人事部に</t>
  </si>
  <si>
    <r>
      <t>提出して下さい。翌月の</t>
    </r>
    <r>
      <rPr>
        <sz val="10"/>
        <color indexed="8"/>
        <rFont val="Tahoma"/>
        <family val="2"/>
      </rPr>
      <t>5</t>
    </r>
    <r>
      <rPr>
        <sz val="10"/>
        <color indexed="8"/>
        <rFont val="MS UI Gothic"/>
        <family val="3"/>
        <charset val="128"/>
      </rPr>
      <t>日までに人事部に提出しないと、休業した日・時間を欠勤（無給）とする。</t>
    </r>
  </si>
  <si>
    <r>
      <t>Về nguyên tắc, đ</t>
    </r>
    <r>
      <rPr>
        <sz val="10"/>
        <color indexed="8"/>
        <rFont val="Tahoma"/>
        <family val="2"/>
      </rPr>
      <t xml:space="preserve">ơn xin phải được trình và duyệt trước khi nghỉ. Sau đó gửi ngay cho HCD. </t>
    </r>
  </si>
  <si>
    <t xml:space="preserve">Nếu đến ngày 5 của tháng tiếp theo mà không gửi đơn thì sẽ tự động tính ngày giờ đã nghỉ là không lương. </t>
  </si>
  <si>
    <r>
      <t>２．休暇期間・分類・理由を必ず記入すること。</t>
    </r>
    <r>
      <rPr>
        <sz val="10"/>
        <color indexed="8"/>
        <rFont val="Tahoma"/>
        <family val="2"/>
      </rPr>
      <t>4</t>
    </r>
    <r>
      <rPr>
        <sz val="10"/>
        <color indexed="8"/>
        <rFont val="MS UI Gothic"/>
        <family val="3"/>
        <charset val="128"/>
      </rPr>
      <t>日間以上を病気・怪我などにより休暇取得する場合は、診断書を添付して下さい。</t>
    </r>
  </si>
  <si>
    <r>
      <t>本人の希望より</t>
    </r>
    <r>
      <rPr>
        <sz val="10"/>
        <color indexed="8"/>
        <rFont val="Tahoma"/>
        <family val="2"/>
      </rPr>
      <t>4</t>
    </r>
    <r>
      <rPr>
        <sz val="10"/>
        <color indexed="8"/>
        <rFont val="MS UI Gothic"/>
        <family val="3"/>
        <charset val="128"/>
      </rPr>
      <t>日間目から健康保険に傷病手当を申請できる。（この場合、建保の用紙に医者の証明が必要になる）</t>
    </r>
  </si>
  <si>
    <r>
      <t>Ghi cụ thể thời gian, phân loại và lý do. Nếu nghỉ bệnh ốm từ 4 ngày làm việc trở lên, phải gửi kèm giấy khám bệnh của bác s</t>
    </r>
    <r>
      <rPr>
        <sz val="9"/>
        <color indexed="8"/>
        <rFont val="Arial Unicode MS"/>
        <family val="3"/>
        <charset val="128"/>
      </rPr>
      <t>ĩ</t>
    </r>
    <r>
      <rPr>
        <sz val="9"/>
        <color indexed="8"/>
        <rFont val="Tahoma"/>
        <family val="2"/>
      </rPr>
      <t>.</t>
    </r>
  </si>
  <si>
    <r>
      <t>Tùy theo nguyện vọng, nhân viên có thể xin l</t>
    </r>
    <r>
      <rPr>
        <sz val="9"/>
        <color indexed="8"/>
        <rFont val="Arial Unicode MS"/>
        <family val="3"/>
        <charset val="128"/>
      </rPr>
      <t>ĩ</t>
    </r>
    <r>
      <rPr>
        <sz val="9"/>
        <color indexed="8"/>
        <rFont val="Tahoma"/>
        <family val="2"/>
      </rPr>
      <t>nh trợ cấp bảo hiểm y tế ốm đau cho ngày thứ 4 trở đi.</t>
    </r>
  </si>
  <si>
    <t>(Trường hợp này cần xác nhận của bác sỹ lên mẫu đơn apply của bảo hiểm.)</t>
  </si>
  <si>
    <r>
      <t>３．振替休日の場合、休日勤務した日にちを理由の欄に記入して下さい。</t>
    </r>
    <r>
      <rPr>
        <sz val="10"/>
        <color indexed="8"/>
        <rFont val="Tahoma"/>
        <family val="2"/>
      </rPr>
      <t>(Ghi cụ thể ngày nghỉ đã đi làm để nghỉ thay thế).</t>
    </r>
  </si>
  <si>
    <t>自(Từ)</t>
    <phoneticPr fontId="3"/>
  </si>
  <si>
    <t>至
(Đến)</t>
    <phoneticPr fontId="3"/>
  </si>
  <si>
    <t>日付</t>
    <rPh sb="0" eb="2">
      <t>ヒヅケ</t>
    </rPh>
    <phoneticPr fontId="3"/>
  </si>
  <si>
    <r>
      <rPr>
        <b/>
        <sz val="14"/>
        <color indexed="8"/>
        <rFont val="Tahoma"/>
        <family val="2"/>
      </rPr>
      <t xml:space="preserve">         </t>
    </r>
    <r>
      <rPr>
        <b/>
        <sz val="14"/>
        <color indexed="8"/>
        <rFont val="MS UI Gothic"/>
        <family val="3"/>
        <charset val="128"/>
      </rPr>
      <t>（</t>
    </r>
    <r>
      <rPr>
        <b/>
        <sz val="14"/>
        <color indexed="8"/>
        <rFont val="Tahoma"/>
        <family val="2"/>
      </rPr>
      <t>ĐƠN XIN NGHỈ, ĐI MUỘN, VỀ SỚM, NGHỈ THAY THẾ v.v.</t>
    </r>
    <r>
      <rPr>
        <b/>
        <sz val="14"/>
        <color indexed="8"/>
        <rFont val="MS UI Gothic"/>
        <family val="3"/>
        <charset val="128"/>
      </rPr>
      <t>）</t>
    </r>
    <phoneticPr fontId="3"/>
  </si>
  <si>
    <r>
      <t>②　欠勤</t>
    </r>
    <r>
      <rPr>
        <sz val="10"/>
        <color indexed="8"/>
        <rFont val="Tahoma"/>
        <family val="2"/>
      </rPr>
      <t>/Nghỉ không lương</t>
    </r>
    <phoneticPr fontId="3"/>
  </si>
  <si>
    <t>*</t>
  </si>
  <si>
    <r>
      <t>If you leave work after 24:00, please input 0:00 for 24:00, 1:00 for 25:00 in column</t>
    </r>
    <r>
      <rPr>
        <b/>
        <sz val="10"/>
        <color indexed="10"/>
        <rFont val="ＭＳ Ｐゴシック"/>
        <family val="3"/>
        <charset val="128"/>
      </rPr>
      <t xml:space="preserve"> 退社[3] </t>
    </r>
    <phoneticPr fontId="3"/>
  </si>
  <si>
    <t>振替休日対象の休日出勤
[15]</t>
    <phoneticPr fontId="3"/>
  </si>
  <si>
    <t>[4]： 実働は４時間～基本動労時間以内の場合LunchTimeの値が設定されます。</t>
    <rPh sb="5" eb="7">
      <t>ジツドウ</t>
    </rPh>
    <rPh sb="9" eb="11">
      <t>ジカン</t>
    </rPh>
    <rPh sb="12" eb="14">
      <t>キホン</t>
    </rPh>
    <rPh sb="14" eb="16">
      <t>ドウロウ</t>
    </rPh>
    <rPh sb="16" eb="18">
      <t>ジカン</t>
    </rPh>
    <rPh sb="18" eb="20">
      <t>イナイ</t>
    </rPh>
    <rPh sb="21" eb="23">
      <t>バアイ</t>
    </rPh>
    <rPh sb="33" eb="34">
      <t>アタイ</t>
    </rPh>
    <rPh sb="35" eb="37">
      <t>セッテイ</t>
    </rPh>
    <phoneticPr fontId="3"/>
  </si>
  <si>
    <t>[15]:休日出勤の場合実働時間は４時間以上の場合[15]に[4:00]を設定します。実働時間は基本作業時間以上の場合[8:00]を設定します。</t>
    <rPh sb="5" eb="7">
      <t>キュウジツ</t>
    </rPh>
    <rPh sb="7" eb="9">
      <t>シュッキン</t>
    </rPh>
    <rPh sb="10" eb="12">
      <t>バアイ</t>
    </rPh>
    <rPh sb="12" eb="14">
      <t>ジツドウ</t>
    </rPh>
    <rPh sb="14" eb="16">
      <t>ジカン</t>
    </rPh>
    <rPh sb="18" eb="20">
      <t>ジカン</t>
    </rPh>
    <rPh sb="20" eb="22">
      <t>イジョウ</t>
    </rPh>
    <rPh sb="23" eb="25">
      <t>バアイ</t>
    </rPh>
    <rPh sb="37" eb="39">
      <t>セッテイ</t>
    </rPh>
    <rPh sb="48" eb="50">
      <t>キホン</t>
    </rPh>
    <rPh sb="50" eb="52">
      <t>サギョウ</t>
    </rPh>
    <rPh sb="52" eb="54">
      <t>ジカン</t>
    </rPh>
    <rPh sb="54" eb="56">
      <t>イジョウ</t>
    </rPh>
    <rPh sb="57" eb="59">
      <t>バアイ</t>
    </rPh>
    <rPh sb="66" eb="68">
      <t>セッテイ</t>
    </rPh>
    <phoneticPr fontId="3"/>
  </si>
  <si>
    <t>[自動入力ルール]</t>
    <rPh sb="1" eb="3">
      <t>ジドウ</t>
    </rPh>
    <rPh sb="3" eb="5">
      <t>ニュウリョク</t>
    </rPh>
    <phoneticPr fontId="3"/>
  </si>
  <si>
    <t>Name:</t>
    <phoneticPr fontId="3"/>
  </si>
  <si>
    <t>Code:</t>
    <phoneticPr fontId="3"/>
  </si>
  <si>
    <t>Dept.:</t>
    <phoneticPr fontId="3"/>
  </si>
  <si>
    <t xml:space="preserve">Start from: </t>
    <phoneticPr fontId="3"/>
  </si>
  <si>
    <t>Contract type:</t>
    <phoneticPr fontId="3"/>
  </si>
  <si>
    <t>（注意事項）</t>
    <rPh sb="1" eb="3">
      <t>チュウイ</t>
    </rPh>
    <rPh sb="3" eb="5">
      <t>ジコウ</t>
    </rPh>
    <phoneticPr fontId="3"/>
  </si>
  <si>
    <t>Ukeoi</t>
  </si>
  <si>
    <r>
      <t>宛先：</t>
    </r>
    <r>
      <rPr>
        <sz val="11"/>
        <rFont val="ＭＳ Ｐゴシック"/>
        <family val="3"/>
        <charset val="128"/>
      </rPr>
      <t/>
    </r>
    <rPh sb="0" eb="2">
      <t>アテサキ</t>
    </rPh>
    <phoneticPr fontId="3"/>
  </si>
  <si>
    <r>
      <t>FPT</t>
    </r>
    <r>
      <rPr>
        <b/>
        <sz val="10"/>
        <rFont val="ＭＳ Ｐゴシック"/>
        <family val="3"/>
        <charset val="128"/>
      </rPr>
      <t>ジャパン（株）　-　人事部</t>
    </r>
    <rPh sb="8" eb="9">
      <t>カブ</t>
    </rPh>
    <phoneticPr fontId="3"/>
  </si>
  <si>
    <t>部署の責任者
(又は派遣先責任者)</t>
    <rPh sb="0" eb="2">
      <t>ブショ</t>
    </rPh>
    <rPh sb="3" eb="6">
      <t>セキニンシャ</t>
    </rPh>
    <rPh sb="8" eb="9">
      <t>マタ</t>
    </rPh>
    <rPh sb="10" eb="12">
      <t>ハケン</t>
    </rPh>
    <rPh sb="12" eb="13">
      <t>サキ</t>
    </rPh>
    <rPh sb="13" eb="16">
      <t>セキニンシャ</t>
    </rPh>
    <phoneticPr fontId="3"/>
  </si>
  <si>
    <t>指揮命令者</t>
    <rPh sb="0" eb="2">
      <t>シキ</t>
    </rPh>
    <rPh sb="2" eb="4">
      <t>メイレイ</t>
    </rPh>
    <rPh sb="4" eb="5">
      <t>シャ</t>
    </rPh>
    <phoneticPr fontId="3"/>
  </si>
  <si>
    <t>個別協定申請書　兼　連絡表</t>
    <rPh sb="0" eb="2">
      <t>コベツ</t>
    </rPh>
    <rPh sb="2" eb="4">
      <t>キョウテイ</t>
    </rPh>
    <rPh sb="4" eb="6">
      <t>シンセイ</t>
    </rPh>
    <rPh sb="6" eb="7">
      <t>ショ</t>
    </rPh>
    <rPh sb="8" eb="9">
      <t>ケン</t>
    </rPh>
    <rPh sb="10" eb="12">
      <t>レンラク</t>
    </rPh>
    <rPh sb="12" eb="13">
      <t>ヒョウ</t>
    </rPh>
    <phoneticPr fontId="3"/>
  </si>
  <si>
    <t>下記の通り追加作業が必要となる見込みですので、時間外労働に関し個別協定の</t>
    <rPh sb="0" eb="2">
      <t>カキ</t>
    </rPh>
    <rPh sb="3" eb="4">
      <t>トオ</t>
    </rPh>
    <rPh sb="5" eb="7">
      <t>ツイカ</t>
    </rPh>
    <rPh sb="7" eb="9">
      <t>サギョウ</t>
    </rPh>
    <rPh sb="10" eb="12">
      <t>ヒツヨウ</t>
    </rPh>
    <rPh sb="15" eb="17">
      <t>ミコ</t>
    </rPh>
    <rPh sb="23" eb="26">
      <t>ジカンガイ</t>
    </rPh>
    <rPh sb="26" eb="28">
      <t>ロウドウ</t>
    </rPh>
    <rPh sb="29" eb="30">
      <t>カン</t>
    </rPh>
    <rPh sb="31" eb="33">
      <t>コベツ</t>
    </rPh>
    <rPh sb="33" eb="35">
      <t>キョウテイ</t>
    </rPh>
    <phoneticPr fontId="3"/>
  </si>
  <si>
    <t>申請を致します。</t>
    <phoneticPr fontId="3"/>
  </si>
  <si>
    <t>会社名（派遣先）</t>
    <rPh sb="0" eb="3">
      <t>カイシャメイ</t>
    </rPh>
    <rPh sb="4" eb="6">
      <t>ハケン</t>
    </rPh>
    <rPh sb="6" eb="7">
      <t>サキ</t>
    </rPh>
    <phoneticPr fontId="3"/>
  </si>
  <si>
    <t>所属</t>
    <rPh sb="0" eb="2">
      <t>ショゾク</t>
    </rPh>
    <phoneticPr fontId="3"/>
  </si>
  <si>
    <t>氏名No.（氏名）</t>
    <rPh sb="0" eb="2">
      <t>シメイ</t>
    </rPh>
    <rPh sb="6" eb="8">
      <t>シメイ</t>
    </rPh>
    <phoneticPr fontId="3"/>
  </si>
  <si>
    <t>作業名（プロジェックト等）</t>
    <rPh sb="0" eb="2">
      <t>サギョウ</t>
    </rPh>
    <rPh sb="2" eb="3">
      <t>メイ</t>
    </rPh>
    <rPh sb="11" eb="12">
      <t>ナド</t>
    </rPh>
    <phoneticPr fontId="3"/>
  </si>
  <si>
    <t>作業場所</t>
    <rPh sb="0" eb="2">
      <t>サギョウ</t>
    </rPh>
    <rPh sb="2" eb="4">
      <t>バショ</t>
    </rPh>
    <phoneticPr fontId="3"/>
  </si>
  <si>
    <t>個別協定の申請内容</t>
    <rPh sb="0" eb="2">
      <t>コベツ</t>
    </rPh>
    <rPh sb="2" eb="4">
      <t>キョウテイ</t>
    </rPh>
    <rPh sb="5" eb="7">
      <t>シンセイ</t>
    </rPh>
    <rPh sb="7" eb="9">
      <t>ナイヨウ</t>
    </rPh>
    <phoneticPr fontId="3"/>
  </si>
  <si>
    <t>項目</t>
    <rPh sb="0" eb="2">
      <t>コウモク</t>
    </rPh>
    <phoneticPr fontId="3"/>
  </si>
  <si>
    <t>通常の延長可能時間</t>
    <rPh sb="0" eb="2">
      <t>ツウジョウ</t>
    </rPh>
    <rPh sb="3" eb="5">
      <t>エンチョウ</t>
    </rPh>
    <rPh sb="5" eb="7">
      <t>カノウ</t>
    </rPh>
    <rPh sb="7" eb="9">
      <t>ジカン</t>
    </rPh>
    <phoneticPr fontId="3"/>
  </si>
  <si>
    <t>個別協定実施による限度時間</t>
    <rPh sb="0" eb="2">
      <t>コベツ</t>
    </rPh>
    <rPh sb="2" eb="4">
      <t>キョウテイ</t>
    </rPh>
    <rPh sb="4" eb="6">
      <t>ジッシ</t>
    </rPh>
    <rPh sb="9" eb="11">
      <t>ゲンド</t>
    </rPh>
    <rPh sb="11" eb="13">
      <t>ジカン</t>
    </rPh>
    <phoneticPr fontId="3"/>
  </si>
  <si>
    <t>期日/期間等</t>
    <rPh sb="0" eb="1">
      <t>キ</t>
    </rPh>
    <rPh sb="1" eb="2">
      <t>ヒ</t>
    </rPh>
    <rPh sb="3" eb="5">
      <t>キカン</t>
    </rPh>
    <rPh sb="5" eb="6">
      <t>ナド</t>
    </rPh>
    <phoneticPr fontId="3"/>
  </si>
  <si>
    <t>1日</t>
    <rPh sb="1" eb="2">
      <t>ニチ</t>
    </rPh>
    <phoneticPr fontId="3"/>
  </si>
  <si>
    <t>5時間</t>
    <rPh sb="1" eb="3">
      <t>ジカン</t>
    </rPh>
    <phoneticPr fontId="3"/>
  </si>
  <si>
    <r>
      <t>13.5</t>
    </r>
    <r>
      <rPr>
        <sz val="10"/>
        <rFont val="ＭＳ Ｐゴシック"/>
        <family val="3"/>
        <charset val="128"/>
      </rPr>
      <t>時間</t>
    </r>
    <rPh sb="4" eb="6">
      <t>ジカン</t>
    </rPh>
    <phoneticPr fontId="3"/>
  </si>
  <si>
    <t>～</t>
    <phoneticPr fontId="3"/>
  </si>
  <si>
    <t>1ヶ月（毎月１日）</t>
    <rPh sb="2" eb="3">
      <t>ゲツ</t>
    </rPh>
    <rPh sb="4" eb="6">
      <t>マイツキ</t>
    </rPh>
    <rPh sb="7" eb="8">
      <t>ニチ</t>
    </rPh>
    <phoneticPr fontId="3"/>
  </si>
  <si>
    <t>45時間</t>
    <rPh sb="2" eb="4">
      <t>ジカン</t>
    </rPh>
    <phoneticPr fontId="3"/>
  </si>
  <si>
    <r>
      <t>90</t>
    </r>
    <r>
      <rPr>
        <sz val="10"/>
        <rFont val="ＭＳ Ｐゴシック"/>
        <family val="3"/>
        <charset val="128"/>
      </rPr>
      <t>時間</t>
    </r>
    <rPh sb="2" eb="4">
      <t>ジカン</t>
    </rPh>
    <phoneticPr fontId="3"/>
  </si>
  <si>
    <t>1年（４月１日）</t>
    <rPh sb="1" eb="2">
      <t>ネン</t>
    </rPh>
    <rPh sb="4" eb="5">
      <t>ガツ</t>
    </rPh>
    <rPh sb="6" eb="7">
      <t>ニチ</t>
    </rPh>
    <phoneticPr fontId="3"/>
  </si>
  <si>
    <t>360時間</t>
    <rPh sb="3" eb="5">
      <t>ジカン</t>
    </rPh>
    <phoneticPr fontId="3"/>
  </si>
  <si>
    <r>
      <t>720</t>
    </r>
    <r>
      <rPr>
        <sz val="10"/>
        <rFont val="ＭＳ Ｐゴシック"/>
        <family val="3"/>
        <charset val="128"/>
      </rPr>
      <t>時間</t>
    </r>
    <rPh sb="3" eb="5">
      <t>ジカン</t>
    </rPh>
    <phoneticPr fontId="3"/>
  </si>
  <si>
    <t>その他</t>
    <rPh sb="2" eb="3">
      <t>ホカ</t>
    </rPh>
    <phoneticPr fontId="3"/>
  </si>
  <si>
    <t>時間外労働の実績及び見通し　　＊1ヶ月の実績は各協力会社の起算日に応じて算出</t>
    <rPh sb="0" eb="3">
      <t>ジカンガイ</t>
    </rPh>
    <rPh sb="3" eb="5">
      <t>ロウドウ</t>
    </rPh>
    <rPh sb="6" eb="8">
      <t>ジッセキ</t>
    </rPh>
    <rPh sb="8" eb="9">
      <t>オヨ</t>
    </rPh>
    <rPh sb="10" eb="12">
      <t>ミトオ</t>
    </rPh>
    <rPh sb="18" eb="19">
      <t>ゲツ</t>
    </rPh>
    <rPh sb="20" eb="22">
      <t>ジッセキ</t>
    </rPh>
    <rPh sb="23" eb="24">
      <t>カク</t>
    </rPh>
    <rPh sb="24" eb="26">
      <t>キョウリョク</t>
    </rPh>
    <rPh sb="26" eb="28">
      <t>カイシャ</t>
    </rPh>
    <rPh sb="29" eb="31">
      <t>キサン</t>
    </rPh>
    <rPh sb="31" eb="32">
      <t>ヒ</t>
    </rPh>
    <rPh sb="33" eb="34">
      <t>オウ</t>
    </rPh>
    <rPh sb="36" eb="38">
      <t>サンシュツ</t>
    </rPh>
    <phoneticPr fontId="3"/>
  </si>
  <si>
    <t>先々月実績</t>
    <rPh sb="2" eb="3">
      <t>ゲツ</t>
    </rPh>
    <rPh sb="3" eb="5">
      <t>ジッセキ</t>
    </rPh>
    <phoneticPr fontId="3"/>
  </si>
  <si>
    <t>先月実績</t>
    <rPh sb="0" eb="2">
      <t>センゲツ</t>
    </rPh>
    <rPh sb="2" eb="4">
      <t>ジッセキ</t>
    </rPh>
    <phoneticPr fontId="3"/>
  </si>
  <si>
    <r>
      <t>当月実績（　</t>
    </r>
    <r>
      <rPr>
        <sz val="10"/>
        <color indexed="12"/>
        <rFont val="ＭＳ Ｐゴシック"/>
        <family val="3"/>
        <charset val="128"/>
      </rPr>
      <t>月　日現在</t>
    </r>
    <r>
      <rPr>
        <sz val="10"/>
        <rFont val="ＭＳ Ｐゴシック"/>
        <family val="3"/>
        <charset val="128"/>
      </rPr>
      <t>）</t>
    </r>
    <rPh sb="0" eb="2">
      <t>トウゲツ</t>
    </rPh>
    <rPh sb="2" eb="4">
      <t>ジッセキ</t>
    </rPh>
    <rPh sb="6" eb="7">
      <t>ガツ</t>
    </rPh>
    <rPh sb="8" eb="9">
      <t>ニチ</t>
    </rPh>
    <rPh sb="9" eb="11">
      <t>ゲンザイ</t>
    </rPh>
    <phoneticPr fontId="3"/>
  </si>
  <si>
    <t>当月見通し</t>
    <rPh sb="0" eb="2">
      <t>トウゲツ</t>
    </rPh>
    <rPh sb="2" eb="4">
      <t>ミトオ</t>
    </rPh>
    <phoneticPr fontId="3"/>
  </si>
  <si>
    <t>翌月見通し</t>
    <rPh sb="0" eb="2">
      <t>ヨクゲツ</t>
    </rPh>
    <rPh sb="2" eb="4">
      <t>ミトオ</t>
    </rPh>
    <phoneticPr fontId="3"/>
  </si>
  <si>
    <t>当月の休日作業実績</t>
    <rPh sb="0" eb="2">
      <t>トウゲツ</t>
    </rPh>
    <rPh sb="3" eb="5">
      <t>キュウジツ</t>
    </rPh>
    <rPh sb="5" eb="7">
      <t>サギョウ</t>
    </rPh>
    <rPh sb="7" eb="9">
      <t>ジッセキ</t>
    </rPh>
    <phoneticPr fontId="3"/>
  </si>
  <si>
    <t>作業日</t>
    <rPh sb="0" eb="2">
      <t>サギョウ</t>
    </rPh>
    <rPh sb="2" eb="3">
      <t>ヒ</t>
    </rPh>
    <phoneticPr fontId="3"/>
  </si>
  <si>
    <t>時間数</t>
    <rPh sb="0" eb="3">
      <t>ジカンスウ</t>
    </rPh>
    <phoneticPr fontId="3"/>
  </si>
  <si>
    <t>代休日</t>
    <rPh sb="0" eb="2">
      <t>ダイキュウ</t>
    </rPh>
    <rPh sb="2" eb="3">
      <t>ヒ</t>
    </rPh>
    <phoneticPr fontId="3"/>
  </si>
  <si>
    <t>追加作業時間の延長が必要な理由</t>
    <rPh sb="0" eb="2">
      <t>ツイカ</t>
    </rPh>
    <rPh sb="2" eb="4">
      <t>サギョウ</t>
    </rPh>
    <rPh sb="4" eb="6">
      <t>ジカン</t>
    </rPh>
    <rPh sb="7" eb="9">
      <t>エンチョウ</t>
    </rPh>
    <rPh sb="10" eb="12">
      <t>ヒツヨウ</t>
    </rPh>
    <rPh sb="13" eb="15">
      <t>リユウ</t>
    </rPh>
    <phoneticPr fontId="3"/>
  </si>
  <si>
    <t>派遣元回答欄</t>
    <rPh sb="0" eb="2">
      <t>ハケン</t>
    </rPh>
    <rPh sb="2" eb="3">
      <t>モト</t>
    </rPh>
    <rPh sb="3" eb="5">
      <t>カイトウ</t>
    </rPh>
    <rPh sb="5" eb="6">
      <t>ラン</t>
    </rPh>
    <phoneticPr fontId="3"/>
  </si>
  <si>
    <t>人事部長印
（派遣元責任者印）</t>
    <rPh sb="0" eb="2">
      <t>ジンジ</t>
    </rPh>
    <rPh sb="2" eb="4">
      <t>ブチョウ</t>
    </rPh>
    <rPh sb="4" eb="5">
      <t>イン</t>
    </rPh>
    <rPh sb="7" eb="9">
      <t>ハケン</t>
    </rPh>
    <rPh sb="9" eb="10">
      <t>モト</t>
    </rPh>
    <rPh sb="10" eb="13">
      <t>セキニンシャ</t>
    </rPh>
    <rPh sb="13" eb="14">
      <t>イン</t>
    </rPh>
    <phoneticPr fontId="3"/>
  </si>
  <si>
    <t>上記の申請については「協定致しました・協定出来ません」ので連絡します。</t>
    <rPh sb="0" eb="2">
      <t>ジョウキ</t>
    </rPh>
    <rPh sb="3" eb="5">
      <t>シンセイ</t>
    </rPh>
    <rPh sb="11" eb="13">
      <t>キョウテイ</t>
    </rPh>
    <rPh sb="13" eb="14">
      <t>イタ</t>
    </rPh>
    <rPh sb="19" eb="21">
      <t>キョウテイ</t>
    </rPh>
    <rPh sb="21" eb="23">
      <t>デキ</t>
    </rPh>
    <rPh sb="29" eb="31">
      <t>レンラク</t>
    </rPh>
    <phoneticPr fontId="3"/>
  </si>
  <si>
    <t>（どちらかの○で囲んで下さい）</t>
    <rPh sb="8" eb="9">
      <t>カコ</t>
    </rPh>
    <rPh sb="11" eb="12">
      <t>クダ</t>
    </rPh>
    <phoneticPr fontId="3"/>
  </si>
  <si>
    <t>Nguyen Van A</t>
    <phoneticPr fontId="3"/>
  </si>
  <si>
    <r>
      <t>[TemplateOT],[TemplateVacation]</t>
    </r>
    <r>
      <rPr>
        <sz val="10"/>
        <color indexed="10"/>
        <rFont val="ＭＳ Ｐゴシック"/>
        <family val="3"/>
        <charset val="128"/>
      </rPr>
      <t>,[TemplateOT45]</t>
    </r>
    <r>
      <rPr>
        <sz val="10"/>
        <color indexed="10"/>
        <rFont val="ＭＳ Ｐゴシック"/>
        <family val="3"/>
        <charset val="128"/>
      </rPr>
      <t>を削除しないでください。(The script only working when [Timesheet],[TemplateOT],[TemplateVacation] are exist!)</t>
    </r>
    <rPh sb="47" eb="49">
      <t>サクジョ</t>
    </rPh>
    <phoneticPr fontId="3"/>
  </si>
  <si>
    <t>[2]＆[3]: 出勤の場合、必ず両方とも記入して下さい。</t>
    <rPh sb="15" eb="16">
      <t>カナラ</t>
    </rPh>
    <rPh sb="17" eb="19">
      <t>リョウホウ</t>
    </rPh>
    <rPh sb="21" eb="23">
      <t>キニュウ</t>
    </rPh>
    <rPh sb="25" eb="26">
      <t>クダ</t>
    </rPh>
    <phoneticPr fontId="3"/>
  </si>
  <si>
    <t>Jan</t>
  </si>
  <si>
    <t>Feb</t>
  </si>
  <si>
    <t>Mar</t>
  </si>
  <si>
    <t>Apr</t>
  </si>
  <si>
    <t>May</t>
  </si>
  <si>
    <t>Jun</t>
  </si>
  <si>
    <t>Jul</t>
  </si>
  <si>
    <t>Aug</t>
  </si>
  <si>
    <t>Sep</t>
  </si>
  <si>
    <t>Oct</t>
  </si>
  <si>
    <t>Nov</t>
  </si>
  <si>
    <t>Dec</t>
  </si>
  <si>
    <t>Auto fill holiday to calendar(* mark) if you change value of Month(cell E7) or Year(cell F7) or Day(cell D7)</t>
    <phoneticPr fontId="3"/>
  </si>
  <si>
    <r>
      <t xml:space="preserve">[Release note] </t>
    </r>
    <r>
      <rPr>
        <sz val="10"/>
        <color indexed="10"/>
        <rFont val="ＭＳ Ｐゴシック"/>
        <family val="3"/>
        <charset val="128"/>
      </rPr>
      <t>Version 1.</t>
    </r>
    <r>
      <rPr>
        <sz val="10"/>
        <color indexed="10"/>
        <rFont val="ＭＳ Ｐゴシック"/>
        <family val="3"/>
        <charset val="128"/>
      </rPr>
      <t xml:space="preserve">8 </t>
    </r>
    <r>
      <rPr>
        <sz val="10"/>
        <color indexed="10"/>
        <rFont val="ＭＳ Ｐゴシック"/>
        <family val="3"/>
        <charset val="128"/>
      </rPr>
      <t>(201</t>
    </r>
    <r>
      <rPr>
        <sz val="10"/>
        <color indexed="10"/>
        <rFont val="ＭＳ Ｐゴシック"/>
        <family val="3"/>
        <charset val="128"/>
      </rPr>
      <t>4</t>
    </r>
    <r>
      <rPr>
        <sz val="10"/>
        <color indexed="10"/>
        <rFont val="ＭＳ Ｐゴシック"/>
        <family val="3"/>
        <charset val="128"/>
      </rPr>
      <t>/</t>
    </r>
    <r>
      <rPr>
        <sz val="10"/>
        <color indexed="10"/>
        <rFont val="ＭＳ Ｐゴシック"/>
        <family val="3"/>
        <charset val="128"/>
      </rPr>
      <t>03</t>
    </r>
    <r>
      <rPr>
        <sz val="10"/>
        <color indexed="10"/>
        <rFont val="ＭＳ Ｐゴシック"/>
        <family val="3"/>
        <charset val="128"/>
      </rPr>
      <t>/</t>
    </r>
    <r>
      <rPr>
        <sz val="10"/>
        <color indexed="10"/>
        <rFont val="ＭＳ Ｐゴシック"/>
        <family val="3"/>
        <charset val="128"/>
      </rPr>
      <t>31</t>
    </r>
    <r>
      <rPr>
        <sz val="10"/>
        <color indexed="10"/>
        <rFont val="ＭＳ Ｐゴシック"/>
        <family val="3"/>
        <charset val="128"/>
      </rPr>
      <t>)</t>
    </r>
    <phoneticPr fontId="3"/>
  </si>
  <si>
    <t>Delete sheet [Holiday2014]</t>
    <phoneticPr fontId="3"/>
  </si>
  <si>
    <t>Update sample timesheet</t>
    <phoneticPr fontId="3"/>
  </si>
  <si>
    <t>Resize template to ~350KByte</t>
    <phoneticPr fontId="3"/>
  </si>
  <si>
    <t>Test</t>
    <phoneticPr fontId="3"/>
  </si>
  <si>
    <t>Code</t>
    <phoneticPr fontId="3"/>
  </si>
  <si>
    <t>Holiday</t>
    <phoneticPr fontId="3"/>
  </si>
  <si>
    <t>New year Holiday</t>
    <phoneticPr fontId="3"/>
  </si>
  <si>
    <t>Test XYZ System</t>
    <phoneticPr fontId="3"/>
  </si>
  <si>
    <t xml:space="preserve">Review solution </t>
    <phoneticPr fontId="3"/>
  </si>
  <si>
    <t>Review design</t>
    <phoneticPr fontId="3"/>
  </si>
  <si>
    <t>Review source code</t>
    <phoneticPr fontId="3"/>
  </si>
  <si>
    <t>Review test case</t>
    <phoneticPr fontId="3"/>
  </si>
  <si>
    <t>Execute test</t>
    <phoneticPr fontId="3"/>
  </si>
  <si>
    <t>Delivery</t>
    <phoneticPr fontId="3"/>
  </si>
  <si>
    <t>有給休暇</t>
    <rPh sb="0" eb="2">
      <t>ユウキュウ</t>
    </rPh>
    <rPh sb="2" eb="4">
      <t>キュウカ</t>
    </rPh>
    <phoneticPr fontId="3"/>
  </si>
  <si>
    <t>振替休暇（2013/12/21)</t>
    <rPh sb="0" eb="2">
      <t>フリカエ</t>
    </rPh>
    <rPh sb="2" eb="4">
      <t>キュウカ</t>
    </rPh>
    <phoneticPr fontId="3"/>
  </si>
  <si>
    <t>111110</t>
    <phoneticPr fontId="3"/>
  </si>
  <si>
    <t>ABC</t>
    <phoneticPr fontId="3"/>
  </si>
  <si>
    <t>XYZ</t>
    <phoneticPr fontId="3"/>
  </si>
  <si>
    <t>水</t>
  </si>
  <si>
    <t>ST1</t>
    <phoneticPr fontId="3"/>
  </si>
  <si>
    <t>FX</t>
    <phoneticPr fontId="3"/>
  </si>
  <si>
    <t>FX_R&amp;D</t>
  </si>
  <si>
    <t>月</t>
  </si>
  <si>
    <t>Dang Thanh Tung</t>
    <phoneticPr fontId="3"/>
  </si>
  <si>
    <t>2015/02/11代休</t>
  </si>
  <si>
    <t>有給休暇</t>
  </si>
  <si>
    <t>～</t>
    <phoneticPr fontId="3"/>
  </si>
  <si>
    <t>～</t>
    <phoneticPr fontId="3"/>
  </si>
  <si>
    <t>振替休日</t>
  </si>
  <si>
    <t>2015/02/11代休</t>
    <phoneticPr fontId="3"/>
  </si>
</sst>
</file>

<file path=xl/styles.xml><?xml version="1.0" encoding="utf-8"?>
<styleSheet xmlns="http://schemas.openxmlformats.org/spreadsheetml/2006/main">
  <numFmts count="10">
    <numFmt numFmtId="176" formatCode="[h]:mm"/>
    <numFmt numFmtId="177" formatCode="mm/dd"/>
    <numFmt numFmtId="178" formatCode="yyyy&quot;年&quot;m&quot;月勤怠〆分&quot;"/>
    <numFmt numFmtId="179" formatCode="h:mm;@"/>
    <numFmt numFmtId="180" formatCode="[hh]:mm"/>
    <numFmt numFmtId="181" formatCode="yyyy/mm"/>
    <numFmt numFmtId="182" formatCode="#,##0_);[Red]\(#,##0\)"/>
    <numFmt numFmtId="183" formatCode="yyyy/m/d;@"/>
    <numFmt numFmtId="184" formatCode="m/d;@"/>
    <numFmt numFmtId="185" formatCode="yyyy&quot;年&quot;m&quot;月&quot;d&quot;日&quot;;@"/>
  </numFmts>
  <fonts count="91">
    <font>
      <sz val="11"/>
      <name val="ＭＳ Ｐゴシック"/>
      <family val="3"/>
      <charset val="128"/>
    </font>
    <font>
      <sz val="11"/>
      <name val="ＭＳ Ｐゴシック"/>
      <family val="3"/>
      <charset val="128"/>
    </font>
    <font>
      <sz val="10"/>
      <name val="ＭＳ Ｐゴシック"/>
      <family val="3"/>
      <charset val="128"/>
    </font>
    <font>
      <sz val="6"/>
      <name val="ＭＳ Ｐゴシック"/>
      <family val="3"/>
      <charset val="128"/>
    </font>
    <font>
      <sz val="11"/>
      <name val="Arial Narrow"/>
      <family val="2"/>
    </font>
    <font>
      <b/>
      <sz val="12"/>
      <name val="Arial Narrow"/>
      <family val="2"/>
    </font>
    <font>
      <b/>
      <sz val="11"/>
      <name val="Arial Narrow"/>
      <family val="2"/>
    </font>
    <font>
      <sz val="8"/>
      <color indexed="81"/>
      <name val="Tahoma"/>
      <family val="2"/>
    </font>
    <font>
      <sz val="9"/>
      <color indexed="81"/>
      <name val="ＭＳ Ｐゴシック"/>
      <family val="3"/>
      <charset val="128"/>
    </font>
    <font>
      <b/>
      <sz val="8"/>
      <color indexed="81"/>
      <name val="Tahoma"/>
      <family val="2"/>
    </font>
    <font>
      <b/>
      <sz val="9"/>
      <color indexed="81"/>
      <name val="ＭＳ Ｐゴシック"/>
      <family val="3"/>
      <charset val="128"/>
    </font>
    <font>
      <sz val="11"/>
      <name val=".VnArial Narrow"/>
      <family val="2"/>
    </font>
    <font>
      <b/>
      <sz val="15"/>
      <name val="ＭＳ Ｐゴシック"/>
      <family val="3"/>
      <charset val="128"/>
    </font>
    <font>
      <b/>
      <sz val="14"/>
      <name val="ＭＳ Ｐゴシック"/>
      <family val="3"/>
      <charset val="128"/>
    </font>
    <font>
      <b/>
      <sz val="16"/>
      <name val="ＭＳ Ｐゴシック"/>
      <family val="3"/>
      <charset val="128"/>
    </font>
    <font>
      <sz val="8"/>
      <name val="ＭＳ Ｐゴシック"/>
      <family val="3"/>
      <charset val="128"/>
    </font>
    <font>
      <sz val="8"/>
      <name val="Arial Narrow"/>
      <family val="2"/>
    </font>
    <font>
      <b/>
      <u/>
      <sz val="10"/>
      <name val="ＭＳ Ｐゴシック"/>
      <family val="3"/>
      <charset val="128"/>
    </font>
    <font>
      <b/>
      <sz val="10"/>
      <name val="ＭＳ Ｐゴシック"/>
      <family val="3"/>
      <charset val="128"/>
    </font>
    <font>
      <sz val="9"/>
      <color indexed="81"/>
      <name val="Tahoma"/>
      <family val="2"/>
    </font>
    <font>
      <b/>
      <sz val="9"/>
      <color indexed="81"/>
      <name val="Tahoma"/>
      <family val="2"/>
    </font>
    <font>
      <b/>
      <i/>
      <sz val="10"/>
      <name val="ＭＳ Ｐゴシック"/>
      <family val="3"/>
      <charset val="128"/>
    </font>
    <font>
      <b/>
      <i/>
      <sz val="11"/>
      <name val="Arial Narrow"/>
      <family val="2"/>
    </font>
    <font>
      <sz val="11"/>
      <color indexed="8"/>
      <name val="Calibri"/>
      <family val="2"/>
    </font>
    <font>
      <b/>
      <sz val="20"/>
      <color indexed="8"/>
      <name val="ＭＳ Ｐ明朝"/>
      <family val="1"/>
      <charset val="128"/>
    </font>
    <font>
      <b/>
      <sz val="11"/>
      <color indexed="8"/>
      <name val="MS UI Gothic"/>
      <family val="3"/>
      <charset val="128"/>
    </font>
    <font>
      <b/>
      <sz val="11"/>
      <color indexed="8"/>
      <name val="Tahoma"/>
      <family val="2"/>
    </font>
    <font>
      <b/>
      <sz val="11"/>
      <color indexed="10"/>
      <name val="ＭＳ Ｐゴシック"/>
      <family val="3"/>
      <charset val="128"/>
    </font>
    <font>
      <sz val="11"/>
      <color indexed="8"/>
      <name val="ＭＳ Ｐゴシック"/>
      <family val="3"/>
      <charset val="128"/>
    </font>
    <font>
      <sz val="18"/>
      <color indexed="8"/>
      <name val="Tahoma"/>
      <family val="2"/>
    </font>
    <font>
      <b/>
      <sz val="18"/>
      <color indexed="8"/>
      <name val="MS UI Gothic"/>
      <family val="3"/>
      <charset val="128"/>
    </font>
    <font>
      <sz val="11"/>
      <color indexed="8"/>
      <name val="Tahoma"/>
      <family val="2"/>
    </font>
    <font>
      <b/>
      <sz val="14"/>
      <color indexed="8"/>
      <name val="MS UI Gothic"/>
      <family val="3"/>
      <charset val="128"/>
    </font>
    <font>
      <b/>
      <sz val="14"/>
      <color indexed="8"/>
      <name val="Tahoma"/>
      <family val="2"/>
    </font>
    <font>
      <sz val="11"/>
      <color indexed="8"/>
      <name val="MS UI Gothic"/>
      <family val="3"/>
      <charset val="128"/>
    </font>
    <font>
      <sz val="9"/>
      <color indexed="8"/>
      <name val="Tahoma"/>
      <family val="2"/>
    </font>
    <font>
      <sz val="8"/>
      <color indexed="8"/>
      <name val="MS UI Gothic"/>
      <family val="3"/>
      <charset val="128"/>
    </font>
    <font>
      <sz val="8"/>
      <color indexed="8"/>
      <name val="Tahoma"/>
      <family val="2"/>
    </font>
    <font>
      <b/>
      <u/>
      <sz val="11"/>
      <color indexed="8"/>
      <name val="Tahoma"/>
      <family val="2"/>
    </font>
    <font>
      <b/>
      <u/>
      <sz val="11"/>
      <color indexed="8"/>
      <name val="MS UI Gothic"/>
      <family val="3"/>
      <charset val="128"/>
    </font>
    <font>
      <sz val="10"/>
      <color indexed="8"/>
      <name val="Tahoma"/>
      <family val="2"/>
    </font>
    <font>
      <sz val="10"/>
      <color indexed="8"/>
      <name val="MS UI Gothic"/>
      <family val="3"/>
      <charset val="128"/>
    </font>
    <font>
      <sz val="12"/>
      <color indexed="8"/>
      <name val="Tahoma"/>
      <family val="2"/>
    </font>
    <font>
      <sz val="10.5"/>
      <color indexed="8"/>
      <name val="Tahoma"/>
      <family val="2"/>
    </font>
    <font>
      <sz val="9"/>
      <color indexed="8"/>
      <name val="Arial Unicode MS"/>
      <family val="3"/>
      <charset val="128"/>
    </font>
    <font>
      <sz val="10"/>
      <color indexed="10"/>
      <name val="ＭＳ Ｐゴシック"/>
      <family val="3"/>
      <charset val="128"/>
    </font>
    <font>
      <b/>
      <sz val="10"/>
      <color indexed="10"/>
      <name val="ＭＳ Ｐゴシック"/>
      <family val="3"/>
      <charset val="128"/>
    </font>
    <font>
      <sz val="11"/>
      <color indexed="8"/>
      <name val="ＭＳ Ｐゴシック"/>
      <family val="3"/>
      <charset val="128"/>
    </font>
    <font>
      <b/>
      <sz val="11"/>
      <color indexed="8"/>
      <name val="ＭＳ Ｐゴシック"/>
      <family val="3"/>
      <charset val="128"/>
    </font>
    <font>
      <b/>
      <sz val="10"/>
      <name val="ＭＳ Ｐゴシック"/>
      <family val="3"/>
      <charset val="128"/>
    </font>
    <font>
      <sz val="10"/>
      <name val="ＭＳ Ｐゴシック"/>
      <family val="3"/>
      <charset val="128"/>
    </font>
    <font>
      <sz val="12"/>
      <color indexed="8"/>
      <name val="ＭＳ Ｐゴシック"/>
      <family val="3"/>
      <charset val="128"/>
    </font>
    <font>
      <sz val="9"/>
      <name val="ＭＳ Ｐゴシック"/>
      <family val="3"/>
      <charset val="128"/>
    </font>
    <font>
      <sz val="10"/>
      <color indexed="8"/>
      <name val="ＭＳ Ｐ明朝"/>
      <family val="1"/>
      <charset val="128"/>
    </font>
    <font>
      <sz val="10.5"/>
      <color indexed="8"/>
      <name val="Century"/>
      <family val="1"/>
    </font>
    <font>
      <sz val="10.5"/>
      <color indexed="8"/>
      <name val="ＭＳ Ｐ明朝"/>
      <family val="1"/>
      <charset val="128"/>
    </font>
    <font>
      <b/>
      <sz val="10"/>
      <color indexed="8"/>
      <name val="ＭＳ Ｐ明朝"/>
      <family val="1"/>
      <charset val="128"/>
    </font>
    <font>
      <sz val="10"/>
      <color indexed="10"/>
      <name val="ＭＳ Ｐゴシック"/>
      <family val="3"/>
      <charset val="128"/>
    </font>
    <font>
      <b/>
      <sz val="9"/>
      <name val="ＭＳ Ｐゴシック"/>
      <family val="3"/>
      <charset val="128"/>
    </font>
    <font>
      <b/>
      <sz val="12"/>
      <color indexed="8"/>
      <name val="ＭＳ Ｐゴシック"/>
      <family val="3"/>
      <charset val="128"/>
    </font>
    <font>
      <sz val="10"/>
      <color indexed="12"/>
      <name val="ＭＳ Ｐゴシック"/>
      <family val="3"/>
      <charset val="128"/>
    </font>
    <font>
      <sz val="10"/>
      <color indexed="8"/>
      <name val="ＭＳ Ｐゴシック"/>
      <family val="3"/>
      <charset val="128"/>
    </font>
    <font>
      <sz val="10"/>
      <name val="Arial"/>
      <family val="2"/>
    </font>
    <font>
      <b/>
      <sz val="10"/>
      <name val="Arial"/>
      <family val="2"/>
    </font>
    <font>
      <sz val="7"/>
      <name val="ＭＳ Ｐゴシック"/>
      <family val="3"/>
      <charset val="128"/>
    </font>
    <font>
      <sz val="15"/>
      <name val="ＭＳ Ｐゴシック"/>
      <family val="3"/>
      <charset val="128"/>
    </font>
    <font>
      <sz val="10"/>
      <color indexed="12"/>
      <name val="Arial"/>
      <family val="2"/>
    </font>
    <font>
      <sz val="9"/>
      <color indexed="12"/>
      <name val="ＭＳ Ｐゴシック"/>
      <family val="3"/>
      <charset val="128"/>
    </font>
    <font>
      <sz val="9"/>
      <color indexed="12"/>
      <name val="Arial"/>
      <family val="2"/>
    </font>
    <font>
      <sz val="11"/>
      <color theme="1"/>
      <name val="ＭＳ Ｐゴシック"/>
      <family val="3"/>
      <charset val="128"/>
      <scheme val="minor"/>
    </font>
    <font>
      <sz val="10"/>
      <color rgb="FF0000FF"/>
      <name val="ＭＳ Ｐゴシック"/>
      <family val="3"/>
      <charset val="128"/>
    </font>
    <font>
      <sz val="11"/>
      <color rgb="FFFF0000"/>
      <name val="Arial Narrow"/>
      <family val="2"/>
    </font>
    <font>
      <sz val="10"/>
      <color rgb="FFFF0000"/>
      <name val="ＭＳ Ｐゴシック"/>
      <family val="3"/>
      <charset val="128"/>
    </font>
    <font>
      <b/>
      <sz val="12"/>
      <color rgb="FFFF0000"/>
      <name val="Arial Narrow"/>
      <family val="2"/>
    </font>
    <font>
      <sz val="12"/>
      <color rgb="FFFF0000"/>
      <name val="Arial Narrow"/>
      <family val="2"/>
    </font>
    <font>
      <sz val="11"/>
      <color rgb="FFFF0000"/>
      <name val="ＭＳ Ｐゴシック"/>
      <family val="3"/>
      <charset val="128"/>
    </font>
    <font>
      <sz val="18"/>
      <color rgb="FFFF0000"/>
      <name val="ＭＳ Ｐゴシック"/>
      <family val="3"/>
      <charset val="128"/>
    </font>
    <font>
      <sz val="11"/>
      <color theme="1"/>
      <name val="Arial Narrow"/>
      <family val="2"/>
    </font>
    <font>
      <sz val="10"/>
      <color theme="1"/>
      <name val="ＭＳ Ｐゴシック"/>
      <family val="3"/>
      <charset val="128"/>
    </font>
    <font>
      <b/>
      <sz val="12"/>
      <color theme="1"/>
      <name val="Arial Narrow"/>
      <family val="2"/>
    </font>
    <font>
      <b/>
      <sz val="11"/>
      <color theme="1"/>
      <name val="Arial Narrow"/>
      <family val="2"/>
    </font>
    <font>
      <b/>
      <sz val="10"/>
      <name val="ＭＳ Ｐゴシック"/>
      <family val="3"/>
      <charset val="128"/>
      <scheme val="minor"/>
    </font>
    <font>
      <b/>
      <sz val="10"/>
      <color theme="1"/>
      <name val="ＭＳ Ｐゴシック"/>
      <family val="3"/>
      <charset val="128"/>
      <scheme val="major"/>
    </font>
    <font>
      <b/>
      <sz val="10"/>
      <name val="ＭＳ Ｐゴシック"/>
      <family val="3"/>
      <charset val="128"/>
      <scheme val="major"/>
    </font>
    <font>
      <sz val="11"/>
      <color theme="1"/>
      <name val="ＭＳ Ｐゴシック"/>
      <family val="3"/>
      <charset val="128"/>
      <scheme val="major"/>
    </font>
    <font>
      <sz val="11"/>
      <name val="ＭＳ Ｐゴシック"/>
      <family val="3"/>
      <charset val="128"/>
      <scheme val="major"/>
    </font>
    <font>
      <sz val="10"/>
      <color indexed="8"/>
      <name val="ＭＳ Ｐゴシック"/>
      <family val="3"/>
      <charset val="128"/>
      <scheme val="minor"/>
    </font>
    <font>
      <sz val="10"/>
      <color indexed="12"/>
      <name val="ＭＳ Ｐゴシック"/>
      <family val="3"/>
      <charset val="128"/>
      <scheme val="minor"/>
    </font>
    <font>
      <sz val="10"/>
      <color indexed="10"/>
      <name val="ＭＳ Ｐゴシック"/>
      <family val="3"/>
      <charset val="128"/>
      <scheme val="minor"/>
    </font>
    <font>
      <b/>
      <sz val="10"/>
      <color theme="1"/>
      <name val="ＭＳ Ｐゴシック"/>
      <family val="3"/>
      <charset val="128"/>
      <scheme val="minor"/>
    </font>
    <font>
      <b/>
      <sz val="11"/>
      <name val="ＭＳ Ｐゴシック"/>
      <family val="3"/>
      <charset val="128"/>
      <scheme val="minor"/>
    </font>
  </fonts>
  <fills count="8">
    <fill>
      <patternFill patternType="none"/>
    </fill>
    <fill>
      <patternFill patternType="gray125"/>
    </fill>
    <fill>
      <patternFill patternType="solid">
        <fgColor indexed="42"/>
        <bgColor indexed="64"/>
      </patternFill>
    </fill>
    <fill>
      <patternFill patternType="solid">
        <fgColor indexed="13"/>
        <bgColor indexed="64"/>
      </patternFill>
    </fill>
    <fill>
      <patternFill patternType="solid">
        <fgColor indexed="42"/>
        <bgColor indexed="27"/>
      </patternFill>
    </fill>
    <fill>
      <patternFill patternType="solid">
        <fgColor indexed="51"/>
        <bgColor indexed="64"/>
      </patternFill>
    </fill>
    <fill>
      <patternFill patternType="solid">
        <fgColor indexed="27"/>
        <bgColor indexed="64"/>
      </patternFill>
    </fill>
    <fill>
      <patternFill patternType="solid">
        <fgColor theme="0" tint="-0.14999847407452621"/>
        <bgColor indexed="64"/>
      </patternFill>
    </fill>
  </fills>
  <borders count="61">
    <border>
      <left/>
      <right/>
      <top/>
      <bottom/>
      <diagonal/>
    </border>
    <border>
      <left style="thin">
        <color indexed="64"/>
      </left>
      <right/>
      <top/>
      <bottom/>
      <diagonal/>
    </border>
    <border>
      <left/>
      <right style="thin">
        <color indexed="64"/>
      </right>
      <top/>
      <bottom/>
      <diagonal/>
    </border>
    <border>
      <left style="thin">
        <color indexed="64"/>
      </left>
      <right/>
      <top style="thin">
        <color indexed="64"/>
      </top>
      <bottom/>
      <diagonal/>
    </border>
    <border>
      <left/>
      <right/>
      <top style="thin">
        <color indexed="64"/>
      </top>
      <bottom/>
      <diagonal/>
    </border>
    <border>
      <left style="thin">
        <color indexed="64"/>
      </left>
      <right style="double">
        <color indexed="64"/>
      </right>
      <top style="thin">
        <color indexed="64"/>
      </top>
      <bottom style="thin">
        <color indexed="64"/>
      </bottom>
      <diagonal/>
    </border>
    <border>
      <left style="thin">
        <color indexed="64"/>
      </left>
      <right style="double">
        <color indexed="64"/>
      </right>
      <top style="thin">
        <color indexed="64"/>
      </top>
      <bottom style="double">
        <color indexed="64"/>
      </bottom>
      <diagonal/>
    </border>
    <border>
      <left style="double">
        <color indexed="64"/>
      </left>
      <right/>
      <top/>
      <bottom/>
      <diagonal/>
    </border>
    <border>
      <left/>
      <right style="double">
        <color indexed="64"/>
      </right>
      <top style="thin">
        <color indexed="64"/>
      </top>
      <bottom/>
      <diagonal/>
    </border>
    <border>
      <left/>
      <right style="double">
        <color indexed="64"/>
      </right>
      <top/>
      <bottom/>
      <diagonal/>
    </border>
    <border>
      <left style="double">
        <color indexed="64"/>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style="double">
        <color indexed="64"/>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double">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double">
        <color indexed="64"/>
      </bottom>
      <diagonal/>
    </border>
    <border>
      <left style="double">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thin">
        <color indexed="64"/>
      </left>
      <right/>
      <top/>
      <bottom style="double">
        <color indexed="64"/>
      </bottom>
      <diagonal/>
    </border>
    <border>
      <left/>
      <right style="thin">
        <color indexed="64"/>
      </right>
      <top style="thin">
        <color indexed="64"/>
      </top>
      <bottom/>
      <diagonal/>
    </border>
    <border>
      <left/>
      <right style="double">
        <color indexed="64"/>
      </right>
      <top/>
      <bottom style="double">
        <color indexed="64"/>
      </bottom>
      <diagonal/>
    </border>
    <border>
      <left style="double">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double">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double">
        <color indexed="64"/>
      </left>
      <right style="thin">
        <color indexed="64"/>
      </right>
      <top style="thin">
        <color indexed="64"/>
      </top>
      <bottom style="thin">
        <color indexed="64"/>
      </bottom>
      <diagonal/>
    </border>
    <border>
      <left style="double">
        <color indexed="64"/>
      </left>
      <right style="thin">
        <color indexed="64"/>
      </right>
      <top style="thin">
        <color indexed="64"/>
      </top>
      <bottom style="double">
        <color indexed="64"/>
      </bottom>
      <diagonal/>
    </border>
    <border>
      <left style="thin">
        <color indexed="64"/>
      </left>
      <right style="thin">
        <color indexed="64"/>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double">
        <color indexed="64"/>
      </right>
      <top style="double">
        <color indexed="64"/>
      </top>
      <bottom style="thin">
        <color indexed="64"/>
      </bottom>
      <diagonal/>
    </border>
    <border>
      <left style="thin">
        <color indexed="8"/>
      </left>
      <right/>
      <top style="thin">
        <color indexed="8"/>
      </top>
      <bottom style="thin">
        <color indexed="8"/>
      </bottom>
      <diagonal/>
    </border>
    <border>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right/>
      <top/>
      <bottom style="medium">
        <color indexed="8"/>
      </bottom>
      <diagonal/>
    </border>
    <border>
      <left style="thin">
        <color indexed="8"/>
      </left>
      <right style="thin">
        <color indexed="8"/>
      </right>
      <top/>
      <bottom style="thin">
        <color indexed="8"/>
      </bottom>
      <diagonal/>
    </border>
    <border>
      <left/>
      <right/>
      <top/>
      <bottom style="thin">
        <color indexed="64"/>
      </bottom>
      <diagonal/>
    </border>
    <border>
      <left style="thin">
        <color indexed="64"/>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indexed="64"/>
      </left>
      <right/>
      <top style="thin">
        <color indexed="64"/>
      </top>
      <bottom style="thin">
        <color indexed="64"/>
      </bottom>
      <diagonal/>
    </border>
    <border>
      <left style="double">
        <color indexed="64"/>
      </left>
      <right/>
      <top style="thin">
        <color indexed="64"/>
      </top>
      <bottom style="double">
        <color indexed="64"/>
      </bottom>
      <diagonal/>
    </border>
    <border>
      <left style="double">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top style="double">
        <color indexed="64"/>
      </top>
      <bottom style="thin">
        <color indexed="64"/>
      </bottom>
      <diagonal/>
    </border>
    <border>
      <left/>
      <right style="double">
        <color indexed="64"/>
      </right>
      <top style="double">
        <color indexed="64"/>
      </top>
      <bottom style="thin">
        <color indexed="64"/>
      </bottom>
      <diagonal/>
    </border>
    <border>
      <left style="double">
        <color indexed="64"/>
      </left>
      <right/>
      <top style="double">
        <color indexed="64"/>
      </top>
      <bottom style="double">
        <color indexed="64"/>
      </bottom>
      <diagonal/>
    </border>
    <border>
      <left/>
      <right/>
      <top style="double">
        <color indexed="64"/>
      </top>
      <bottom style="double">
        <color indexed="64"/>
      </bottom>
      <diagonal/>
    </border>
    <border>
      <left/>
      <right style="double">
        <color indexed="64"/>
      </right>
      <top style="double">
        <color indexed="64"/>
      </top>
      <bottom style="double">
        <color indexed="64"/>
      </bottom>
      <diagonal/>
    </border>
    <border>
      <left/>
      <right style="thin">
        <color indexed="8"/>
      </right>
      <top style="thin">
        <color indexed="8"/>
      </top>
      <bottom/>
      <diagonal/>
    </border>
    <border>
      <left/>
      <right style="thin">
        <color indexed="8"/>
      </right>
      <top/>
      <bottom style="thin">
        <color indexed="8"/>
      </bottom>
      <diagonal/>
    </border>
    <border>
      <left style="thin">
        <color indexed="8"/>
      </left>
      <right style="thin">
        <color indexed="8"/>
      </right>
      <top style="thin">
        <color indexed="8"/>
      </top>
      <bottom/>
      <diagonal/>
    </border>
    <border>
      <left/>
      <right/>
      <top style="thin">
        <color indexed="8"/>
      </top>
      <bottom style="thin">
        <color indexed="8"/>
      </bottom>
      <diagonal/>
    </border>
    <border>
      <left style="thin">
        <color indexed="8"/>
      </left>
      <right/>
      <top style="thin">
        <color indexed="8"/>
      </top>
      <bottom style="thin">
        <color indexed="64"/>
      </bottom>
      <diagonal/>
    </border>
    <border>
      <left/>
      <right/>
      <top style="thin">
        <color indexed="8"/>
      </top>
      <bottom style="thin">
        <color indexed="64"/>
      </bottom>
      <diagonal/>
    </border>
    <border>
      <left/>
      <right style="thin">
        <color indexed="8"/>
      </right>
      <top style="thin">
        <color indexed="8"/>
      </top>
      <bottom style="thin">
        <color indexed="64"/>
      </bottom>
      <diagonal/>
    </border>
  </borders>
  <cellStyleXfs count="9">
    <xf numFmtId="0" fontId="0" fillId="0" borderId="0">
      <alignment vertical="center"/>
    </xf>
    <xf numFmtId="182" fontId="23" fillId="0" borderId="0" applyFill="0" applyBorder="0" applyAlignment="0" applyProtection="0"/>
    <xf numFmtId="38" fontId="47" fillId="0" borderId="0" applyFont="0" applyFill="0" applyBorder="0" applyAlignment="0" applyProtection="0">
      <alignment vertical="center"/>
    </xf>
    <xf numFmtId="0" fontId="23" fillId="0" borderId="0"/>
    <xf numFmtId="0" fontId="1" fillId="0" borderId="0">
      <alignment vertical="center"/>
    </xf>
    <xf numFmtId="0" fontId="1" fillId="0" borderId="0">
      <alignment vertical="center"/>
    </xf>
    <xf numFmtId="0" fontId="69" fillId="0" borderId="0"/>
    <xf numFmtId="0" fontId="28" fillId="0" borderId="0">
      <alignment vertical="center"/>
    </xf>
    <xf numFmtId="0" fontId="62" fillId="0" borderId="0"/>
  </cellStyleXfs>
  <cellXfs count="346">
    <xf numFmtId="0" fontId="0" fillId="0" borderId="0" xfId="0">
      <alignment vertical="center"/>
    </xf>
    <xf numFmtId="176" fontId="2" fillId="0" borderId="0" xfId="0" applyNumberFormat="1" applyFont="1" applyBorder="1" applyAlignment="1" applyProtection="1">
      <alignment horizontal="left"/>
      <protection hidden="1"/>
    </xf>
    <xf numFmtId="176" fontId="2" fillId="0" borderId="0" xfId="0" applyNumberFormat="1" applyFont="1" applyAlignment="1" applyProtection="1">
      <alignment horizontal="right"/>
      <protection hidden="1"/>
    </xf>
    <xf numFmtId="0" fontId="49" fillId="2" borderId="0" xfId="0" applyFont="1" applyFill="1" applyBorder="1" applyAlignment="1" applyProtection="1">
      <alignment horizontal="right" vertical="center" wrapText="1"/>
      <protection locked="0"/>
    </xf>
    <xf numFmtId="0" fontId="12" fillId="0" borderId="0" xfId="0" applyFont="1" applyProtection="1">
      <alignment vertical="center"/>
      <protection hidden="1"/>
    </xf>
    <xf numFmtId="0" fontId="14" fillId="0" borderId="0" xfId="0" applyFont="1" applyAlignment="1" applyProtection="1">
      <alignment horizontal="center" vertical="center"/>
      <protection hidden="1"/>
    </xf>
    <xf numFmtId="0" fontId="12" fillId="0" borderId="0" xfId="0" applyFont="1" applyBorder="1" applyProtection="1">
      <alignment vertical="center"/>
      <protection hidden="1"/>
    </xf>
    <xf numFmtId="0" fontId="13" fillId="0" borderId="0" xfId="0" applyFont="1" applyAlignment="1" applyProtection="1">
      <alignment horizontal="center" vertical="center"/>
      <protection hidden="1"/>
    </xf>
    <xf numFmtId="0" fontId="2" fillId="0" borderId="0" xfId="0" applyFont="1" applyProtection="1">
      <alignment vertical="center"/>
      <protection hidden="1"/>
    </xf>
    <xf numFmtId="0" fontId="2" fillId="0" borderId="0" xfId="0" applyFont="1" applyBorder="1" applyProtection="1">
      <alignment vertical="center"/>
      <protection hidden="1"/>
    </xf>
    <xf numFmtId="0" fontId="0" fillId="0" borderId="0" xfId="0" applyProtection="1">
      <alignment vertical="center"/>
      <protection hidden="1"/>
    </xf>
    <xf numFmtId="0" fontId="4" fillId="0" borderId="0" xfId="0" applyFont="1" applyProtection="1">
      <alignment vertical="center"/>
      <protection hidden="1"/>
    </xf>
    <xf numFmtId="0" fontId="5" fillId="0" borderId="0" xfId="0" applyFont="1" applyFill="1" applyAlignment="1" applyProtection="1">
      <alignment vertical="center"/>
      <protection hidden="1"/>
    </xf>
    <xf numFmtId="0" fontId="6" fillId="0" borderId="0" xfId="0" applyFont="1" applyBorder="1" applyAlignment="1" applyProtection="1">
      <alignment horizontal="right" vertical="center"/>
      <protection hidden="1"/>
    </xf>
    <xf numFmtId="0" fontId="5" fillId="0" borderId="0" xfId="0" applyFont="1" applyFill="1" applyAlignment="1" applyProtection="1">
      <alignment horizontal="right" vertical="center"/>
      <protection hidden="1"/>
    </xf>
    <xf numFmtId="0" fontId="2" fillId="0" borderId="0" xfId="0" applyFont="1" applyBorder="1" applyAlignment="1" applyProtection="1">
      <alignment horizontal="center" vertical="center"/>
      <protection hidden="1"/>
    </xf>
    <xf numFmtId="0" fontId="2" fillId="0" borderId="0" xfId="0" applyFont="1" applyFill="1" applyProtection="1">
      <alignment vertical="center"/>
      <protection hidden="1"/>
    </xf>
    <xf numFmtId="0" fontId="2" fillId="0" borderId="0" xfId="0" applyFont="1" applyFill="1" applyBorder="1" applyProtection="1">
      <alignment vertical="center"/>
      <protection hidden="1"/>
    </xf>
    <xf numFmtId="0" fontId="4" fillId="0" borderId="1" xfId="0" applyFont="1" applyBorder="1" applyProtection="1">
      <alignment vertical="center"/>
      <protection hidden="1"/>
    </xf>
    <xf numFmtId="0" fontId="11" fillId="0" borderId="0" xfId="0" applyFont="1" applyBorder="1" applyProtection="1">
      <alignment vertical="center"/>
      <protection hidden="1"/>
    </xf>
    <xf numFmtId="0" fontId="4" fillId="0" borderId="2" xfId="0" applyFont="1" applyBorder="1" applyProtection="1">
      <alignment vertical="center"/>
      <protection hidden="1"/>
    </xf>
    <xf numFmtId="0" fontId="11" fillId="0" borderId="3" xfId="0" applyFont="1" applyBorder="1" applyProtection="1">
      <alignment vertical="center"/>
      <protection hidden="1"/>
    </xf>
    <xf numFmtId="0" fontId="4" fillId="0" borderId="0" xfId="0" applyFont="1" applyBorder="1" applyProtection="1">
      <alignment vertical="center"/>
      <protection hidden="1"/>
    </xf>
    <xf numFmtId="0" fontId="2" fillId="0" borderId="0" xfId="0" applyFont="1" applyAlignment="1" applyProtection="1">
      <alignment vertical="center"/>
      <protection hidden="1"/>
    </xf>
    <xf numFmtId="0" fontId="2" fillId="0" borderId="0" xfId="0" applyFont="1" applyBorder="1" applyAlignment="1" applyProtection="1">
      <alignment vertical="center"/>
      <protection hidden="1"/>
    </xf>
    <xf numFmtId="176" fontId="2" fillId="0" borderId="0" xfId="0" applyNumberFormat="1" applyFont="1" applyFill="1" applyBorder="1" applyAlignment="1" applyProtection="1">
      <alignment horizontal="right" shrinkToFit="1"/>
      <protection hidden="1"/>
    </xf>
    <xf numFmtId="0" fontId="2" fillId="0" borderId="0" xfId="0" applyFont="1" applyFill="1" applyAlignment="1" applyProtection="1">
      <alignment vertical="center" shrinkToFit="1"/>
      <protection hidden="1"/>
    </xf>
    <xf numFmtId="0" fontId="2" fillId="0" borderId="0" xfId="0" applyFont="1" applyFill="1" applyBorder="1" applyAlignment="1" applyProtection="1">
      <alignment horizontal="center" vertical="top" wrapText="1"/>
      <protection hidden="1"/>
    </xf>
    <xf numFmtId="0" fontId="2" fillId="0" borderId="0" xfId="0" applyFont="1" applyBorder="1" applyAlignment="1" applyProtection="1">
      <alignment horizontal="center" vertical="top" wrapText="1"/>
      <protection hidden="1"/>
    </xf>
    <xf numFmtId="0" fontId="2" fillId="0" borderId="0" xfId="0" applyFont="1" applyAlignment="1" applyProtection="1">
      <alignment vertical="top"/>
      <protection hidden="1"/>
    </xf>
    <xf numFmtId="0" fontId="0" fillId="0" borderId="0" xfId="0" applyAlignment="1" applyProtection="1">
      <alignment vertical="top"/>
      <protection hidden="1"/>
    </xf>
    <xf numFmtId="0" fontId="0" fillId="0" borderId="0" xfId="0" applyFont="1" applyProtection="1">
      <alignment vertical="center"/>
      <protection hidden="1"/>
    </xf>
    <xf numFmtId="0" fontId="17" fillId="0" borderId="0" xfId="0" applyFont="1" applyBorder="1" applyProtection="1">
      <alignment vertical="center"/>
      <protection hidden="1"/>
    </xf>
    <xf numFmtId="0" fontId="11" fillId="0" borderId="4" xfId="0" applyFont="1" applyBorder="1" applyProtection="1">
      <alignment vertical="center"/>
      <protection hidden="1"/>
    </xf>
    <xf numFmtId="0" fontId="50" fillId="0" borderId="5" xfId="0" applyFont="1" applyFill="1" applyBorder="1" applyAlignment="1" applyProtection="1">
      <alignment horizontal="center" vertical="center" wrapText="1"/>
      <protection locked="0"/>
    </xf>
    <xf numFmtId="49" fontId="50" fillId="0" borderId="6" xfId="0" applyNumberFormat="1" applyFont="1" applyFill="1" applyBorder="1" applyAlignment="1" applyProtection="1">
      <alignment horizontal="center" vertical="center" wrapText="1"/>
      <protection locked="0"/>
    </xf>
    <xf numFmtId="0" fontId="4" fillId="0" borderId="7" xfId="0" applyFont="1" applyBorder="1" applyProtection="1">
      <alignment vertical="center"/>
      <protection hidden="1"/>
    </xf>
    <xf numFmtId="0" fontId="11" fillId="0" borderId="8" xfId="0" applyFont="1" applyBorder="1" applyProtection="1">
      <alignment vertical="center"/>
      <protection hidden="1"/>
    </xf>
    <xf numFmtId="0" fontId="4" fillId="0" borderId="9" xfId="0" applyFont="1" applyBorder="1" applyProtection="1">
      <alignment vertical="center"/>
      <protection hidden="1"/>
    </xf>
    <xf numFmtId="0" fontId="50" fillId="0" borderId="10" xfId="0" applyFont="1" applyFill="1" applyBorder="1" applyAlignment="1" applyProtection="1">
      <alignment horizontal="center" vertical="top"/>
      <protection hidden="1"/>
    </xf>
    <xf numFmtId="0" fontId="50" fillId="0" borderId="11" xfId="0" applyFont="1" applyFill="1" applyBorder="1" applyAlignment="1" applyProtection="1">
      <alignment horizontal="center" vertical="top"/>
      <protection hidden="1"/>
    </xf>
    <xf numFmtId="0" fontId="50" fillId="0" borderId="11" xfId="0" applyFont="1" applyFill="1" applyBorder="1" applyAlignment="1" applyProtection="1">
      <alignment horizontal="center" vertical="top" wrapText="1"/>
      <protection hidden="1"/>
    </xf>
    <xf numFmtId="176" fontId="2" fillId="3" borderId="0" xfId="0" applyNumberFormat="1" applyFont="1" applyFill="1" applyBorder="1" applyAlignment="1" applyProtection="1">
      <alignment horizontal="right" shrinkToFit="1"/>
      <protection hidden="1"/>
    </xf>
    <xf numFmtId="176" fontId="21" fillId="0" borderId="12" xfId="0" applyNumberFormat="1" applyFont="1" applyFill="1" applyBorder="1" applyAlignment="1" applyProtection="1">
      <alignment vertical="center" shrinkToFit="1"/>
      <protection hidden="1"/>
    </xf>
    <xf numFmtId="176" fontId="21" fillId="0" borderId="13" xfId="0" applyNumberFormat="1" applyFont="1" applyFill="1" applyBorder="1" applyAlignment="1" applyProtection="1">
      <alignment vertical="center" shrinkToFit="1"/>
      <protection hidden="1"/>
    </xf>
    <xf numFmtId="176" fontId="21" fillId="0" borderId="14" xfId="0" applyNumberFormat="1" applyFont="1" applyFill="1" applyBorder="1" applyAlignment="1" applyProtection="1">
      <alignment vertical="center" shrinkToFit="1"/>
      <protection hidden="1"/>
    </xf>
    <xf numFmtId="0" fontId="22" fillId="0" borderId="0" xfId="0" applyFont="1" applyAlignment="1" applyProtection="1">
      <alignment vertical="center" shrinkToFit="1"/>
      <protection hidden="1"/>
    </xf>
    <xf numFmtId="0" fontId="18" fillId="0" borderId="0" xfId="0" applyFont="1" applyFill="1" applyBorder="1" applyProtection="1">
      <alignment vertical="center"/>
      <protection hidden="1"/>
    </xf>
    <xf numFmtId="0" fontId="18" fillId="0" borderId="0" xfId="0" applyFont="1" applyFill="1" applyProtection="1">
      <alignment vertical="center"/>
      <protection hidden="1"/>
    </xf>
    <xf numFmtId="46" fontId="18" fillId="0" borderId="0" xfId="0" applyNumberFormat="1" applyFont="1" applyFill="1" applyBorder="1" applyProtection="1">
      <alignment vertical="center"/>
      <protection hidden="1"/>
    </xf>
    <xf numFmtId="176" fontId="18" fillId="0" borderId="0" xfId="0" applyNumberFormat="1" applyFont="1" applyFill="1" applyBorder="1" applyProtection="1">
      <alignment vertical="center"/>
      <protection hidden="1"/>
    </xf>
    <xf numFmtId="180" fontId="21" fillId="0" borderId="13" xfId="0" applyNumberFormat="1" applyFont="1" applyFill="1" applyBorder="1" applyAlignment="1" applyProtection="1">
      <alignment vertical="center" shrinkToFit="1"/>
      <protection hidden="1"/>
    </xf>
    <xf numFmtId="180" fontId="21" fillId="0" borderId="15" xfId="0" applyNumberFormat="1" applyFont="1" applyFill="1" applyBorder="1" applyAlignment="1" applyProtection="1">
      <alignment vertical="center" shrinkToFit="1"/>
      <protection hidden="1"/>
    </xf>
    <xf numFmtId="180" fontId="18" fillId="0" borderId="16" xfId="0" applyNumberFormat="1" applyFont="1" applyFill="1" applyBorder="1" applyAlignment="1" applyProtection="1">
      <alignment vertical="center" shrinkToFit="1"/>
      <protection hidden="1"/>
    </xf>
    <xf numFmtId="180" fontId="2" fillId="0" borderId="0" xfId="0" applyNumberFormat="1" applyFont="1" applyFill="1" applyBorder="1" applyAlignment="1" applyProtection="1">
      <alignment vertical="center" shrinkToFit="1"/>
      <protection hidden="1"/>
    </xf>
    <xf numFmtId="180" fontId="50" fillId="2" borderId="0" xfId="0" applyNumberFormat="1" applyFont="1" applyFill="1" applyBorder="1" applyAlignment="1" applyProtection="1">
      <alignment horizontal="center" vertical="center" shrinkToFit="1"/>
      <protection locked="0"/>
    </xf>
    <xf numFmtId="0" fontId="4" fillId="0" borderId="17" xfId="0" applyFont="1" applyBorder="1" applyAlignment="1" applyProtection="1">
      <alignment horizontal="center" vertical="center"/>
      <protection locked="0"/>
    </xf>
    <xf numFmtId="0" fontId="4" fillId="0" borderId="18" xfId="0" applyFont="1" applyBorder="1" applyAlignment="1" applyProtection="1">
      <alignment horizontal="center" vertical="center"/>
      <protection locked="0"/>
    </xf>
    <xf numFmtId="0" fontId="4" fillId="0" borderId="19" xfId="0" applyFont="1" applyBorder="1" applyAlignment="1" applyProtection="1">
      <alignment horizontal="center" vertical="center"/>
      <protection locked="0"/>
    </xf>
    <xf numFmtId="0" fontId="0" fillId="0" borderId="0" xfId="0" applyBorder="1" applyAlignment="1" applyProtection="1">
      <alignment horizontal="center" vertical="center" wrapText="1"/>
      <protection hidden="1"/>
    </xf>
    <xf numFmtId="0" fontId="4" fillId="0" borderId="0" xfId="0" applyFont="1" applyBorder="1" applyAlignment="1" applyProtection="1">
      <alignment horizontal="center" vertical="center"/>
      <protection locked="0"/>
    </xf>
    <xf numFmtId="0" fontId="4" fillId="0" borderId="20" xfId="0" applyFont="1" applyBorder="1" applyAlignment="1" applyProtection="1">
      <alignment vertical="center"/>
      <protection locked="0"/>
    </xf>
    <xf numFmtId="0" fontId="4" fillId="0" borderId="19" xfId="0" applyFont="1" applyBorder="1" applyAlignment="1" applyProtection="1">
      <alignment vertical="center"/>
      <protection locked="0"/>
    </xf>
    <xf numFmtId="0" fontId="4" fillId="0" borderId="18" xfId="0" applyFont="1" applyBorder="1" applyAlignment="1" applyProtection="1">
      <alignment vertical="center"/>
      <protection locked="0"/>
    </xf>
    <xf numFmtId="0" fontId="11" fillId="0" borderId="21" xfId="0" applyFont="1" applyBorder="1" applyProtection="1">
      <alignment vertical="center"/>
      <protection hidden="1"/>
    </xf>
    <xf numFmtId="0" fontId="4" fillId="0" borderId="22" xfId="0" applyFont="1" applyBorder="1" applyAlignment="1" applyProtection="1">
      <alignment vertical="center"/>
      <protection locked="0"/>
    </xf>
    <xf numFmtId="0" fontId="6" fillId="0" borderId="0" xfId="0" applyFont="1" applyBorder="1" applyAlignment="1" applyProtection="1">
      <alignment horizontal="center" vertical="center"/>
      <protection hidden="1"/>
    </xf>
    <xf numFmtId="0" fontId="23" fillId="0" borderId="0" xfId="3" applyAlignment="1">
      <alignment vertical="center"/>
    </xf>
    <xf numFmtId="0" fontId="24" fillId="0" borderId="0" xfId="3" applyFont="1" applyAlignment="1">
      <alignment vertical="center"/>
    </xf>
    <xf numFmtId="0" fontId="24" fillId="0" borderId="0" xfId="3" applyFont="1" applyAlignment="1">
      <alignment horizontal="center" vertical="center"/>
    </xf>
    <xf numFmtId="0" fontId="25" fillId="0" borderId="0" xfId="0" applyFont="1" applyBorder="1" applyAlignment="1">
      <alignment vertical="center" wrapText="1"/>
    </xf>
    <xf numFmtId="0" fontId="26" fillId="0" borderId="0" xfId="3" applyFont="1" applyBorder="1" applyAlignment="1">
      <alignment vertical="center"/>
    </xf>
    <xf numFmtId="0" fontId="25" fillId="0" borderId="0" xfId="3" applyFont="1" applyBorder="1" applyAlignment="1">
      <alignment vertical="center" wrapText="1"/>
    </xf>
    <xf numFmtId="49" fontId="26" fillId="4" borderId="0" xfId="3" applyNumberFormat="1" applyFont="1" applyFill="1" applyBorder="1" applyAlignment="1">
      <alignment vertical="center"/>
    </xf>
    <xf numFmtId="180" fontId="18" fillId="0" borderId="6" xfId="0" quotePrefix="1" applyNumberFormat="1" applyFont="1" applyFill="1" applyBorder="1" applyProtection="1">
      <alignment vertical="center"/>
      <protection hidden="1"/>
    </xf>
    <xf numFmtId="0" fontId="69" fillId="0" borderId="0" xfId="6" applyAlignment="1">
      <alignment vertical="center"/>
    </xf>
    <xf numFmtId="0" fontId="51" fillId="0" borderId="0" xfId="6" applyFont="1" applyBorder="1" applyAlignment="1">
      <alignment vertical="center"/>
    </xf>
    <xf numFmtId="0" fontId="52" fillId="2" borderId="23" xfId="6" applyFont="1" applyFill="1" applyBorder="1" applyAlignment="1" applyProtection="1">
      <alignment horizontal="center" vertical="center" wrapText="1"/>
      <protection locked="0"/>
    </xf>
    <xf numFmtId="0" fontId="52" fillId="2" borderId="24" xfId="6" applyFont="1" applyFill="1" applyBorder="1" applyAlignment="1" applyProtection="1">
      <alignment horizontal="center" vertical="center" wrapText="1"/>
      <protection locked="0"/>
    </xf>
    <xf numFmtId="0" fontId="52" fillId="2" borderId="25" xfId="6" applyFont="1" applyFill="1" applyBorder="1" applyAlignment="1" applyProtection="1">
      <alignment horizontal="center" vertical="center" wrapText="1"/>
      <protection locked="0"/>
    </xf>
    <xf numFmtId="0" fontId="48" fillId="0" borderId="0" xfId="6" applyFont="1" applyBorder="1" applyAlignment="1">
      <alignment horizontal="center" vertical="center"/>
    </xf>
    <xf numFmtId="0" fontId="69" fillId="0" borderId="15" xfId="6" applyBorder="1" applyAlignment="1">
      <alignment vertical="center" shrinkToFit="1"/>
    </xf>
    <xf numFmtId="20" fontId="69" fillId="0" borderId="26" xfId="6" applyNumberFormat="1" applyBorder="1" applyAlignment="1">
      <alignment horizontal="center" vertical="center" shrinkToFit="1"/>
    </xf>
    <xf numFmtId="0" fontId="53" fillId="0" borderId="27" xfId="6" applyFont="1" applyBorder="1" applyAlignment="1">
      <alignment horizontal="center" vertical="center" shrinkToFit="1"/>
    </xf>
    <xf numFmtId="20" fontId="69" fillId="0" borderId="28" xfId="6" applyNumberFormat="1" applyBorder="1" applyAlignment="1">
      <alignment horizontal="center" vertical="center" shrinkToFit="1"/>
    </xf>
    <xf numFmtId="20" fontId="47" fillId="0" borderId="15" xfId="2" applyNumberFormat="1" applyFont="1" applyBorder="1" applyAlignment="1">
      <alignment vertical="center" shrinkToFit="1"/>
    </xf>
    <xf numFmtId="0" fontId="69" fillId="0" borderId="5" xfId="6" applyBorder="1" applyAlignment="1">
      <alignment vertical="center" shrinkToFit="1"/>
    </xf>
    <xf numFmtId="179" fontId="47" fillId="0" borderId="29" xfId="2" applyNumberFormat="1" applyFont="1" applyBorder="1" applyAlignment="1">
      <alignment vertical="center" shrinkToFit="1"/>
    </xf>
    <xf numFmtId="0" fontId="69" fillId="0" borderId="0" xfId="6" applyBorder="1" applyAlignment="1">
      <alignment vertical="center" shrinkToFit="1"/>
    </xf>
    <xf numFmtId="179" fontId="48" fillId="0" borderId="0" xfId="6" applyNumberFormat="1" applyFont="1" applyAlignment="1">
      <alignment vertical="center" shrinkToFit="1"/>
    </xf>
    <xf numFmtId="0" fontId="54" fillId="0" borderId="0" xfId="6" applyFont="1" applyAlignment="1">
      <alignment horizontal="justify" vertical="center"/>
    </xf>
    <xf numFmtId="0" fontId="55" fillId="0" borderId="0" xfId="6" applyFont="1" applyAlignment="1">
      <alignment horizontal="justify" vertical="center"/>
    </xf>
    <xf numFmtId="0" fontId="52" fillId="2" borderId="10" xfId="6" applyFont="1" applyFill="1" applyBorder="1" applyAlignment="1" applyProtection="1">
      <alignment horizontal="center" vertical="center" wrapText="1"/>
      <protection locked="0"/>
    </xf>
    <xf numFmtId="179" fontId="48" fillId="5" borderId="30" xfId="6" applyNumberFormat="1" applyFont="1" applyFill="1" applyBorder="1" applyAlignment="1">
      <alignment vertical="center" shrinkToFit="1"/>
    </xf>
    <xf numFmtId="179" fontId="48" fillId="5" borderId="31" xfId="6" applyNumberFormat="1" applyFont="1" applyFill="1" applyBorder="1" applyAlignment="1">
      <alignment vertical="center" shrinkToFit="1"/>
    </xf>
    <xf numFmtId="179" fontId="48" fillId="5" borderId="16" xfId="6" applyNumberFormat="1" applyFont="1" applyFill="1" applyBorder="1" applyAlignment="1">
      <alignment vertical="center" shrinkToFit="1"/>
    </xf>
    <xf numFmtId="179" fontId="56" fillId="5" borderId="32" xfId="6" applyNumberFormat="1" applyFont="1" applyFill="1" applyBorder="1" applyAlignment="1">
      <alignment horizontal="center" vertical="center" shrinkToFit="1"/>
    </xf>
    <xf numFmtId="179" fontId="48" fillId="5" borderId="33" xfId="6" applyNumberFormat="1" applyFont="1" applyFill="1" applyBorder="1" applyAlignment="1">
      <alignment vertical="center" shrinkToFit="1"/>
    </xf>
    <xf numFmtId="176" fontId="48" fillId="5" borderId="31" xfId="2" applyNumberFormat="1" applyFont="1" applyFill="1" applyBorder="1" applyAlignment="1">
      <alignment vertical="center" shrinkToFit="1"/>
    </xf>
    <xf numFmtId="179" fontId="48" fillId="5" borderId="6" xfId="6" applyNumberFormat="1" applyFont="1" applyFill="1" applyBorder="1" applyAlignment="1">
      <alignment vertical="center" shrinkToFit="1"/>
    </xf>
    <xf numFmtId="0" fontId="69" fillId="0" borderId="13" xfId="6" applyBorder="1" applyAlignment="1">
      <alignment vertical="center" shrinkToFit="1"/>
    </xf>
    <xf numFmtId="20" fontId="69" fillId="0" borderId="3" xfId="6" applyNumberFormat="1" applyBorder="1" applyAlignment="1">
      <alignment horizontal="center" vertical="center" shrinkToFit="1"/>
    </xf>
    <xf numFmtId="20" fontId="69" fillId="0" borderId="21" xfId="6" applyNumberFormat="1" applyBorder="1" applyAlignment="1">
      <alignment horizontal="center" vertical="center" shrinkToFit="1"/>
    </xf>
    <xf numFmtId="20" fontId="47" fillId="0" borderId="13" xfId="2" applyNumberFormat="1" applyFont="1" applyBorder="1" applyAlignment="1">
      <alignment vertical="center" shrinkToFit="1"/>
    </xf>
    <xf numFmtId="0" fontId="69" fillId="0" borderId="14" xfId="6" applyBorder="1" applyAlignment="1">
      <alignment vertical="center" shrinkToFit="1"/>
    </xf>
    <xf numFmtId="179" fontId="47" fillId="0" borderId="12" xfId="2" applyNumberFormat="1" applyFont="1" applyBorder="1" applyAlignment="1">
      <alignment vertical="center" shrinkToFit="1"/>
    </xf>
    <xf numFmtId="0" fontId="52" fillId="2" borderId="11" xfId="0" applyFont="1" applyFill="1" applyBorder="1" applyAlignment="1" applyProtection="1">
      <alignment horizontal="center" vertical="top" wrapText="1"/>
    </xf>
    <xf numFmtId="0" fontId="50" fillId="2" borderId="11" xfId="0" applyFont="1" applyFill="1" applyBorder="1" applyAlignment="1" applyProtection="1">
      <alignment horizontal="center" vertical="top" wrapText="1"/>
    </xf>
    <xf numFmtId="0" fontId="50" fillId="2" borderId="34" xfId="0" applyFont="1" applyFill="1" applyBorder="1" applyAlignment="1" applyProtection="1">
      <alignment horizontal="center" vertical="top" wrapText="1"/>
    </xf>
    <xf numFmtId="0" fontId="29" fillId="0" borderId="0" xfId="7" applyFont="1">
      <alignment vertical="center"/>
    </xf>
    <xf numFmtId="0" fontId="30" fillId="0" borderId="0" xfId="7" applyFont="1" applyAlignment="1">
      <alignment horizontal="center" vertical="center"/>
    </xf>
    <xf numFmtId="0" fontId="31" fillId="0" borderId="0" xfId="7" applyFont="1">
      <alignment vertical="center"/>
    </xf>
    <xf numFmtId="0" fontId="32" fillId="0" borderId="0" xfId="7" applyFont="1" applyAlignment="1">
      <alignment horizontal="center" vertical="center"/>
    </xf>
    <xf numFmtId="0" fontId="34" fillId="0" borderId="35" xfId="7" applyFont="1" applyBorder="1" applyAlignment="1">
      <alignment vertical="center" wrapText="1"/>
    </xf>
    <xf numFmtId="0" fontId="31" fillId="4" borderId="36" xfId="7" applyFont="1" applyFill="1" applyBorder="1">
      <alignment vertical="center"/>
    </xf>
    <xf numFmtId="0" fontId="36" fillId="0" borderId="35" xfId="7" applyFont="1" applyBorder="1" applyAlignment="1">
      <alignment vertical="center" wrapText="1"/>
    </xf>
    <xf numFmtId="0" fontId="31" fillId="0" borderId="35" xfId="7" applyFont="1" applyBorder="1">
      <alignment vertical="center"/>
    </xf>
    <xf numFmtId="0" fontId="31" fillId="0" borderId="36" xfId="7" applyFont="1" applyBorder="1">
      <alignment vertical="center"/>
    </xf>
    <xf numFmtId="0" fontId="31" fillId="0" borderId="0" xfId="7" applyFont="1" applyAlignment="1">
      <alignment horizontal="center" vertical="center"/>
    </xf>
    <xf numFmtId="0" fontId="31" fillId="0" borderId="0" xfId="7" applyFont="1" applyAlignment="1"/>
    <xf numFmtId="0" fontId="31" fillId="0" borderId="0" xfId="7" applyFont="1" applyBorder="1" applyAlignment="1"/>
    <xf numFmtId="0" fontId="31" fillId="0" borderId="0" xfId="7" applyFont="1" applyBorder="1" applyAlignment="1">
      <alignment horizontal="right" shrinkToFit="1"/>
    </xf>
    <xf numFmtId="0" fontId="34" fillId="0" borderId="37" xfId="7" applyFont="1" applyBorder="1" applyAlignment="1">
      <alignment vertical="center" wrapText="1"/>
    </xf>
    <xf numFmtId="0" fontId="31" fillId="0" borderId="37" xfId="7" applyFont="1" applyBorder="1">
      <alignment vertical="center"/>
    </xf>
    <xf numFmtId="0" fontId="34" fillId="0" borderId="37" xfId="7" applyFont="1" applyBorder="1">
      <alignment vertical="center"/>
    </xf>
    <xf numFmtId="0" fontId="31" fillId="0" borderId="38" xfId="7" applyFont="1" applyBorder="1">
      <alignment vertical="center"/>
    </xf>
    <xf numFmtId="0" fontId="38" fillId="0" borderId="0" xfId="7" applyFont="1">
      <alignment vertical="center"/>
    </xf>
    <xf numFmtId="0" fontId="40" fillId="0" borderId="0" xfId="7" applyFont="1">
      <alignment vertical="center"/>
    </xf>
    <xf numFmtId="0" fontId="41" fillId="0" borderId="0" xfId="7" applyFont="1">
      <alignment vertical="center"/>
    </xf>
    <xf numFmtId="0" fontId="42" fillId="0" borderId="0" xfId="7" applyFont="1" applyAlignment="1">
      <alignment horizontal="justify" vertical="center"/>
    </xf>
    <xf numFmtId="0" fontId="34" fillId="0" borderId="0" xfId="7" applyFont="1">
      <alignment vertical="center"/>
    </xf>
    <xf numFmtId="0" fontId="40" fillId="0" borderId="0" xfId="7" applyFont="1" applyAlignment="1">
      <alignment horizontal="justify" vertical="center"/>
    </xf>
    <xf numFmtId="0" fontId="43" fillId="0" borderId="0" xfId="7" applyFont="1" applyAlignment="1">
      <alignment vertical="center" wrapText="1"/>
    </xf>
    <xf numFmtId="0" fontId="35" fillId="0" borderId="0" xfId="7" applyFont="1">
      <alignment vertical="center"/>
    </xf>
    <xf numFmtId="49" fontId="31" fillId="4" borderId="36" xfId="7" applyNumberFormat="1" applyFont="1" applyFill="1" applyBorder="1">
      <alignment vertical="center"/>
    </xf>
    <xf numFmtId="49" fontId="28" fillId="4" borderId="36" xfId="7" applyNumberFormat="1" applyFont="1" applyFill="1" applyBorder="1">
      <alignment vertical="center"/>
    </xf>
    <xf numFmtId="0" fontId="34" fillId="5" borderId="15" xfId="7" applyFont="1" applyFill="1" applyBorder="1" applyAlignment="1">
      <alignment horizontal="center" vertical="center" wrapText="1"/>
    </xf>
    <xf numFmtId="183" fontId="2" fillId="0" borderId="0" xfId="0" applyNumberFormat="1" applyFont="1" applyFill="1" applyAlignment="1" applyProtection="1">
      <alignment vertical="center" shrinkToFit="1"/>
      <protection hidden="1"/>
    </xf>
    <xf numFmtId="184" fontId="0" fillId="0" borderId="0" xfId="0" applyNumberFormat="1" applyAlignment="1" applyProtection="1">
      <alignment vertical="top"/>
      <protection hidden="1"/>
    </xf>
    <xf numFmtId="14" fontId="34" fillId="0" borderId="39" xfId="7" applyNumberFormat="1" applyFont="1" applyBorder="1" applyAlignment="1">
      <alignment horizontal="left" vertical="center"/>
    </xf>
    <xf numFmtId="179" fontId="34" fillId="0" borderId="39" xfId="7" quotePrefix="1" applyNumberFormat="1" applyFont="1" applyBorder="1" applyAlignment="1">
      <alignment horizontal="left" vertical="center" shrinkToFit="1"/>
    </xf>
    <xf numFmtId="179" fontId="34" fillId="0" borderId="37" xfId="7" quotePrefix="1" applyNumberFormat="1" applyFont="1" applyBorder="1" applyAlignment="1">
      <alignment horizontal="left" vertical="center" wrapText="1"/>
    </xf>
    <xf numFmtId="0" fontId="34" fillId="0" borderId="37" xfId="7" applyNumberFormat="1" applyFont="1" applyBorder="1" applyAlignment="1">
      <alignment horizontal="left" vertical="center" wrapText="1"/>
    </xf>
    <xf numFmtId="0" fontId="57" fillId="0" borderId="0" xfId="0" applyFont="1" applyProtection="1">
      <alignment vertical="center"/>
      <protection hidden="1"/>
    </xf>
    <xf numFmtId="176" fontId="70" fillId="0" borderId="0" xfId="0" applyNumberFormat="1" applyFont="1" applyFill="1" applyBorder="1" applyAlignment="1" applyProtection="1">
      <alignment horizontal="right" shrinkToFit="1"/>
      <protection hidden="1"/>
    </xf>
    <xf numFmtId="180" fontId="70" fillId="2" borderId="0" xfId="0" applyNumberFormat="1" applyFont="1" applyFill="1" applyBorder="1" applyAlignment="1" applyProtection="1">
      <alignment horizontal="center" vertical="center" shrinkToFit="1"/>
      <protection locked="0"/>
    </xf>
    <xf numFmtId="180" fontId="70" fillId="0" borderId="0" xfId="0" applyNumberFormat="1" applyFont="1" applyFill="1" applyBorder="1" applyAlignment="1" applyProtection="1">
      <alignment vertical="center" shrinkToFit="1"/>
      <protection hidden="1"/>
    </xf>
    <xf numFmtId="0" fontId="70" fillId="0" borderId="0" xfId="0" applyFont="1" applyFill="1" applyAlignment="1" applyProtection="1">
      <alignment vertical="center" shrinkToFit="1"/>
      <protection hidden="1"/>
    </xf>
    <xf numFmtId="183" fontId="70" fillId="0" borderId="0" xfId="0" applyNumberFormat="1" applyFont="1" applyFill="1" applyAlignment="1" applyProtection="1">
      <alignment vertical="center" shrinkToFit="1"/>
      <protection hidden="1"/>
    </xf>
    <xf numFmtId="0" fontId="71" fillId="0" borderId="0" xfId="0" applyFont="1" applyFill="1" applyProtection="1">
      <alignment vertical="center"/>
      <protection hidden="1"/>
    </xf>
    <xf numFmtId="0" fontId="72" fillId="0" borderId="0" xfId="0" applyFont="1" applyProtection="1">
      <alignment vertical="center"/>
      <protection hidden="1"/>
    </xf>
    <xf numFmtId="0" fontId="73" fillId="0" borderId="0" xfId="0" applyFont="1" applyFill="1" applyAlignment="1" applyProtection="1">
      <alignment vertical="center"/>
      <protection hidden="1"/>
    </xf>
    <xf numFmtId="178" fontId="74" fillId="0" borderId="0" xfId="0" applyNumberFormat="1" applyFont="1" applyFill="1" applyAlignment="1" applyProtection="1">
      <alignment vertical="center"/>
      <protection hidden="1"/>
    </xf>
    <xf numFmtId="0" fontId="75" fillId="0" borderId="0" xfId="0" applyFont="1" applyProtection="1">
      <alignment vertical="center"/>
      <protection hidden="1"/>
    </xf>
    <xf numFmtId="0" fontId="76" fillId="0" borderId="0" xfId="0" applyFont="1" applyAlignment="1" applyProtection="1">
      <alignment horizontal="center" vertical="center"/>
      <protection hidden="1"/>
    </xf>
    <xf numFmtId="0" fontId="72" fillId="0" borderId="0" xfId="0" applyFont="1" applyBorder="1" applyProtection="1">
      <alignment vertical="center"/>
      <protection hidden="1"/>
    </xf>
    <xf numFmtId="0" fontId="72" fillId="0" borderId="0" xfId="0" applyFont="1" applyBorder="1" applyAlignment="1" applyProtection="1">
      <alignment horizontal="left"/>
      <protection hidden="1"/>
    </xf>
    <xf numFmtId="0" fontId="77" fillId="0" borderId="0" xfId="0" applyFont="1" applyProtection="1">
      <alignment vertical="center"/>
      <protection hidden="1"/>
    </xf>
    <xf numFmtId="0" fontId="78" fillId="0" borderId="0" xfId="0" applyFont="1" applyProtection="1">
      <alignment vertical="center"/>
      <protection hidden="1"/>
    </xf>
    <xf numFmtId="0" fontId="79" fillId="0" borderId="0" xfId="0" applyFont="1" applyFill="1" applyAlignment="1" applyProtection="1">
      <alignment vertical="center"/>
      <protection hidden="1"/>
    </xf>
    <xf numFmtId="0" fontId="77" fillId="0" borderId="0" xfId="0" applyFont="1" applyFill="1" applyProtection="1">
      <alignment vertical="center"/>
      <protection hidden="1"/>
    </xf>
    <xf numFmtId="0" fontId="78" fillId="0" borderId="0" xfId="0" applyFont="1" applyFill="1" applyProtection="1">
      <alignment vertical="center"/>
      <protection hidden="1"/>
    </xf>
    <xf numFmtId="0" fontId="77" fillId="0" borderId="0" xfId="0" applyFont="1" applyAlignment="1" applyProtection="1">
      <alignment horizontal="left" vertical="center"/>
      <protection hidden="1"/>
    </xf>
    <xf numFmtId="0" fontId="77" fillId="0" borderId="0" xfId="0" applyFont="1" applyBorder="1" applyAlignment="1" applyProtection="1">
      <alignment horizontal="left" vertical="center"/>
      <protection hidden="1"/>
    </xf>
    <xf numFmtId="0" fontId="80" fillId="0" borderId="0" xfId="0" applyFont="1" applyBorder="1" applyAlignment="1" applyProtection="1">
      <alignment horizontal="right" vertical="center"/>
      <protection hidden="1"/>
    </xf>
    <xf numFmtId="0" fontId="77" fillId="0" borderId="0" xfId="0" applyFont="1" applyFill="1" applyBorder="1" applyAlignment="1" applyProtection="1">
      <alignment horizontal="left" vertical="center"/>
      <protection hidden="1"/>
    </xf>
    <xf numFmtId="0" fontId="80" fillId="0" borderId="0" xfId="0" applyFont="1" applyFill="1" applyBorder="1" applyAlignment="1" applyProtection="1">
      <alignment horizontal="right" vertical="center"/>
      <protection hidden="1"/>
    </xf>
    <xf numFmtId="176" fontId="72" fillId="0" borderId="0" xfId="0" applyNumberFormat="1" applyFont="1" applyFill="1" applyBorder="1" applyAlignment="1" applyProtection="1">
      <alignment horizontal="right" shrinkToFit="1"/>
      <protection hidden="1"/>
    </xf>
    <xf numFmtId="180" fontId="72" fillId="2" borderId="0" xfId="0" applyNumberFormat="1" applyFont="1" applyFill="1" applyBorder="1" applyAlignment="1" applyProtection="1">
      <alignment horizontal="center" vertical="center" shrinkToFit="1"/>
      <protection locked="0"/>
    </xf>
    <xf numFmtId="180" fontId="72" fillId="0" borderId="0" xfId="0" applyNumberFormat="1" applyFont="1" applyFill="1" applyBorder="1" applyAlignment="1" applyProtection="1">
      <alignment vertical="center" shrinkToFit="1"/>
      <protection hidden="1"/>
    </xf>
    <xf numFmtId="0" fontId="72" fillId="0" borderId="0" xfId="0" applyFont="1" applyFill="1" applyAlignment="1" applyProtection="1">
      <alignment vertical="center" shrinkToFit="1"/>
      <protection hidden="1"/>
    </xf>
    <xf numFmtId="183" fontId="72" fillId="0" borderId="0" xfId="0" applyNumberFormat="1" applyFont="1" applyFill="1" applyAlignment="1" applyProtection="1">
      <alignment vertical="center" shrinkToFit="1"/>
      <protection hidden="1"/>
    </xf>
    <xf numFmtId="177" fontId="45" fillId="0" borderId="29" xfId="0" applyNumberFormat="1" applyFont="1" applyFill="1" applyBorder="1" applyAlignment="1" applyProtection="1">
      <alignment vertical="center" shrinkToFit="1"/>
      <protection hidden="1"/>
    </xf>
    <xf numFmtId="0" fontId="45" fillId="0" borderId="15" xfId="0" applyFont="1" applyFill="1" applyBorder="1" applyAlignment="1" applyProtection="1">
      <alignment horizontal="center" vertical="center" shrinkToFit="1"/>
      <protection hidden="1"/>
    </xf>
    <xf numFmtId="0" fontId="45" fillId="2" borderId="15" xfId="0" applyFont="1" applyFill="1" applyBorder="1" applyAlignment="1" applyProtection="1">
      <alignment horizontal="center" vertical="center" shrinkToFit="1"/>
      <protection locked="0"/>
    </xf>
    <xf numFmtId="180" fontId="45" fillId="2" borderId="15" xfId="0" applyNumberFormat="1" applyFont="1" applyFill="1" applyBorder="1" applyAlignment="1" applyProtection="1">
      <alignment horizontal="center" vertical="center" shrinkToFit="1"/>
      <protection locked="0"/>
    </xf>
    <xf numFmtId="180" fontId="45" fillId="0" borderId="15" xfId="0" applyNumberFormat="1" applyFont="1" applyFill="1" applyBorder="1" applyAlignment="1" applyProtection="1">
      <alignment horizontal="center" vertical="center" shrinkToFit="1"/>
      <protection hidden="1"/>
    </xf>
    <xf numFmtId="0" fontId="45" fillId="2" borderId="5" xfId="0" applyFont="1" applyFill="1" applyBorder="1" applyAlignment="1" applyProtection="1">
      <alignment horizontal="center" vertical="center" shrinkToFit="1"/>
      <protection locked="0"/>
    </xf>
    <xf numFmtId="177" fontId="60" fillId="0" borderId="29" xfId="0" applyNumberFormat="1" applyFont="1" applyFill="1" applyBorder="1" applyAlignment="1" applyProtection="1">
      <alignment vertical="center" shrinkToFit="1"/>
      <protection hidden="1"/>
    </xf>
    <xf numFmtId="0" fontId="60" fillId="0" borderId="15" xfId="0" applyFont="1" applyFill="1" applyBorder="1" applyAlignment="1" applyProtection="1">
      <alignment horizontal="center" vertical="center" shrinkToFit="1"/>
      <protection hidden="1"/>
    </xf>
    <xf numFmtId="0" fontId="60" fillId="2" borderId="15" xfId="0" applyFont="1" applyFill="1" applyBorder="1" applyAlignment="1" applyProtection="1">
      <alignment horizontal="center" vertical="center" shrinkToFit="1"/>
      <protection locked="0"/>
    </xf>
    <xf numFmtId="180" fontId="60" fillId="2" borderId="15" xfId="0" applyNumberFormat="1" applyFont="1" applyFill="1" applyBorder="1" applyAlignment="1" applyProtection="1">
      <alignment horizontal="center" vertical="center" shrinkToFit="1"/>
      <protection locked="0"/>
    </xf>
    <xf numFmtId="180" fontId="60" fillId="0" borderId="15" xfId="0" applyNumberFormat="1" applyFont="1" applyFill="1" applyBorder="1" applyAlignment="1" applyProtection="1">
      <alignment horizontal="center" vertical="center" shrinkToFit="1"/>
      <protection hidden="1"/>
    </xf>
    <xf numFmtId="0" fontId="60" fillId="2" borderId="5" xfId="0" applyFont="1" applyFill="1" applyBorder="1" applyAlignment="1" applyProtection="1">
      <alignment horizontal="center" vertical="center" shrinkToFit="1"/>
      <protection locked="0"/>
    </xf>
    <xf numFmtId="0" fontId="81" fillId="2" borderId="0" xfId="0" applyFont="1" applyFill="1" applyBorder="1" applyAlignment="1" applyProtection="1">
      <alignment horizontal="right" vertical="center" wrapText="1"/>
      <protection locked="0"/>
    </xf>
    <xf numFmtId="181" fontId="82" fillId="0" borderId="0" xfId="0" applyNumberFormat="1" applyFont="1" applyFill="1" applyBorder="1" applyAlignment="1" applyProtection="1">
      <alignment horizontal="right" vertical="center" wrapText="1"/>
    </xf>
    <xf numFmtId="20" fontId="83" fillId="3" borderId="0" xfId="0" applyNumberFormat="1" applyFont="1" applyFill="1" applyAlignment="1" applyProtection="1">
      <alignment horizontal="right" vertical="center"/>
      <protection locked="0" hidden="1"/>
    </xf>
    <xf numFmtId="177" fontId="61" fillId="0" borderId="29" xfId="0" applyNumberFormat="1" applyFont="1" applyFill="1" applyBorder="1" applyAlignment="1" applyProtection="1">
      <alignment vertical="center" shrinkToFit="1"/>
      <protection hidden="1"/>
    </xf>
    <xf numFmtId="0" fontId="61" fillId="0" borderId="15" xfId="0" applyFont="1" applyFill="1" applyBorder="1" applyAlignment="1" applyProtection="1">
      <alignment horizontal="center" vertical="center" shrinkToFit="1"/>
      <protection hidden="1"/>
    </xf>
    <xf numFmtId="0" fontId="61" fillId="2" borderId="15" xfId="0" applyFont="1" applyFill="1" applyBorder="1" applyAlignment="1" applyProtection="1">
      <alignment horizontal="center" vertical="center" shrinkToFit="1"/>
      <protection locked="0"/>
    </xf>
    <xf numFmtId="180" fontId="61" fillId="2" borderId="15" xfId="0" applyNumberFormat="1" applyFont="1" applyFill="1" applyBorder="1" applyAlignment="1" applyProtection="1">
      <alignment horizontal="center" vertical="center" shrinkToFit="1"/>
      <protection locked="0"/>
    </xf>
    <xf numFmtId="180" fontId="61" fillId="0" borderId="15" xfId="0" applyNumberFormat="1" applyFont="1" applyFill="1" applyBorder="1" applyAlignment="1" applyProtection="1">
      <alignment horizontal="center" vertical="center" shrinkToFit="1"/>
      <protection hidden="1"/>
    </xf>
    <xf numFmtId="0" fontId="61" fillId="2" borderId="5" xfId="0" applyFont="1" applyFill="1" applyBorder="1" applyAlignment="1" applyProtection="1">
      <alignment horizontal="center" vertical="center" shrinkToFit="1"/>
      <protection locked="0"/>
    </xf>
    <xf numFmtId="20" fontId="81" fillId="2" borderId="0" xfId="0" applyNumberFormat="1" applyFont="1" applyFill="1" applyBorder="1" applyAlignment="1" applyProtection="1">
      <alignment horizontal="right" vertical="center" wrapText="1"/>
      <protection locked="0"/>
    </xf>
    <xf numFmtId="0" fontId="81" fillId="2" borderId="0" xfId="0" applyFont="1" applyFill="1" applyBorder="1" applyAlignment="1" applyProtection="1">
      <alignment horizontal="right" vertical="center" shrinkToFit="1"/>
      <protection locked="0"/>
    </xf>
    <xf numFmtId="0" fontId="18" fillId="4" borderId="0" xfId="0" applyFont="1" applyFill="1" applyBorder="1" applyAlignment="1" applyProtection="1">
      <alignment horizontal="right" vertical="center" shrinkToFit="1"/>
      <protection locked="0"/>
    </xf>
    <xf numFmtId="0" fontId="84" fillId="0" borderId="29" xfId="6" applyFont="1" applyBorder="1" applyAlignment="1">
      <alignment vertical="center" shrinkToFit="1"/>
    </xf>
    <xf numFmtId="0" fontId="84" fillId="0" borderId="15" xfId="6" applyFont="1" applyBorder="1" applyAlignment="1">
      <alignment vertical="center" shrinkToFit="1"/>
    </xf>
    <xf numFmtId="0" fontId="84" fillId="0" borderId="12" xfId="6" applyFont="1" applyBorder="1" applyAlignment="1">
      <alignment vertical="center" shrinkToFit="1"/>
    </xf>
    <xf numFmtId="0" fontId="84" fillId="0" borderId="13" xfId="6" applyFont="1" applyBorder="1" applyAlignment="1">
      <alignment vertical="center" shrinkToFit="1"/>
    </xf>
    <xf numFmtId="0" fontId="85" fillId="0" borderId="15" xfId="6" applyNumberFormat="1" applyFont="1" applyFill="1" applyBorder="1" applyAlignment="1" applyProtection="1">
      <alignment horizontal="center" vertical="center" shrinkToFit="1"/>
      <protection hidden="1"/>
    </xf>
    <xf numFmtId="0" fontId="85" fillId="0" borderId="3" xfId="6" applyNumberFormat="1" applyFont="1" applyFill="1" applyBorder="1" applyAlignment="1" applyProtection="1">
      <alignment horizontal="center" vertical="center" shrinkToFit="1"/>
      <protection hidden="1"/>
    </xf>
    <xf numFmtId="0" fontId="17" fillId="0" borderId="0" xfId="8" applyFont="1"/>
    <xf numFmtId="0" fontId="63" fillId="0" borderId="0" xfId="8" applyFont="1"/>
    <xf numFmtId="0" fontId="2" fillId="0" borderId="0" xfId="8" applyFont="1"/>
    <xf numFmtId="0" fontId="62" fillId="0" borderId="0" xfId="8"/>
    <xf numFmtId="0" fontId="62" fillId="0" borderId="40" xfId="8" applyBorder="1"/>
    <xf numFmtId="0" fontId="62" fillId="0" borderId="3" xfId="8" applyBorder="1" applyAlignment="1">
      <alignment shrinkToFit="1"/>
    </xf>
    <xf numFmtId="0" fontId="62" fillId="0" borderId="4" xfId="8" applyBorder="1" applyAlignment="1">
      <alignment shrinkToFit="1"/>
    </xf>
    <xf numFmtId="0" fontId="64" fillId="0" borderId="15" xfId="8" applyFont="1" applyBorder="1" applyAlignment="1">
      <alignment horizontal="center" wrapText="1" shrinkToFit="1"/>
    </xf>
    <xf numFmtId="0" fontId="15" fillId="0" borderId="28" xfId="8" applyFont="1" applyBorder="1" applyAlignment="1">
      <alignment horizontal="center" shrinkToFit="1"/>
    </xf>
    <xf numFmtId="0" fontId="62" fillId="0" borderId="0" xfId="8" applyAlignment="1">
      <alignment shrinkToFit="1"/>
    </xf>
    <xf numFmtId="0" fontId="62" fillId="0" borderId="1" xfId="8" applyBorder="1"/>
    <xf numFmtId="0" fontId="62" fillId="0" borderId="0" xfId="8" applyBorder="1"/>
    <xf numFmtId="0" fontId="65" fillId="0" borderId="0" xfId="8" applyFont="1" applyBorder="1" applyAlignment="1">
      <alignment horizontal="center"/>
    </xf>
    <xf numFmtId="0" fontId="2" fillId="0" borderId="41" xfId="8" applyFont="1" applyBorder="1"/>
    <xf numFmtId="0" fontId="62" fillId="0" borderId="2" xfId="8" applyBorder="1"/>
    <xf numFmtId="0" fontId="62" fillId="0" borderId="41" xfId="8" applyBorder="1"/>
    <xf numFmtId="0" fontId="52" fillId="0" borderId="1" xfId="8" applyFont="1" applyBorder="1"/>
    <xf numFmtId="0" fontId="62" fillId="0" borderId="42" xfId="8" applyBorder="1"/>
    <xf numFmtId="0" fontId="62" fillId="0" borderId="24" xfId="8" applyBorder="1"/>
    <xf numFmtId="0" fontId="62" fillId="0" borderId="43" xfId="8" applyBorder="1"/>
    <xf numFmtId="0" fontId="2" fillId="0" borderId="15" xfId="8" applyFont="1" applyBorder="1" applyAlignment="1">
      <alignment horizontal="center" shrinkToFit="1"/>
    </xf>
    <xf numFmtId="0" fontId="62" fillId="0" borderId="0" xfId="8" applyAlignment="1">
      <alignment horizontal="center" shrinkToFit="1"/>
    </xf>
    <xf numFmtId="0" fontId="66" fillId="0" borderId="41" xfId="8" applyFont="1" applyBorder="1" applyAlignment="1">
      <alignment horizontal="center"/>
    </xf>
    <xf numFmtId="0" fontId="62" fillId="0" borderId="1" xfId="8" applyBorder="1" applyAlignment="1">
      <alignment horizontal="center"/>
    </xf>
    <xf numFmtId="0" fontId="62" fillId="0" borderId="2" xfId="8" applyBorder="1" applyAlignment="1">
      <alignment horizontal="center"/>
    </xf>
    <xf numFmtId="0" fontId="2" fillId="0" borderId="26" xfId="8" applyFont="1" applyBorder="1"/>
    <xf numFmtId="0" fontId="62" fillId="0" borderId="27" xfId="8" applyBorder="1"/>
    <xf numFmtId="0" fontId="62" fillId="0" borderId="28" xfId="8" applyBorder="1"/>
    <xf numFmtId="0" fontId="62" fillId="0" borderId="26" xfId="8" applyBorder="1"/>
    <xf numFmtId="0" fontId="2" fillId="0" borderId="27" xfId="8" applyFont="1" applyBorder="1"/>
    <xf numFmtId="0" fontId="2" fillId="0" borderId="26" xfId="8" applyFont="1" applyBorder="1" applyAlignment="1">
      <alignment horizontal="center"/>
    </xf>
    <xf numFmtId="0" fontId="2" fillId="0" borderId="28" xfId="8" applyFont="1" applyBorder="1" applyAlignment="1">
      <alignment horizontal="center"/>
    </xf>
    <xf numFmtId="14" fontId="66" fillId="0" borderId="26" xfId="8" applyNumberFormat="1" applyFont="1" applyBorder="1"/>
    <xf numFmtId="0" fontId="60" fillId="0" borderId="27" xfId="8" applyFont="1" applyBorder="1" applyAlignment="1">
      <alignment horizontal="center"/>
    </xf>
    <xf numFmtId="14" fontId="66" fillId="0" borderId="28" xfId="8" applyNumberFormat="1" applyFont="1" applyBorder="1" applyAlignment="1">
      <alignment horizontal="left"/>
    </xf>
    <xf numFmtId="0" fontId="2" fillId="0" borderId="27" xfId="8" applyFont="1" applyBorder="1" applyAlignment="1">
      <alignment horizontal="center"/>
    </xf>
    <xf numFmtId="0" fontId="2" fillId="0" borderId="15" xfId="8" applyFont="1" applyBorder="1" applyAlignment="1">
      <alignment horizontal="center"/>
    </xf>
    <xf numFmtId="0" fontId="62" fillId="0" borderId="0" xfId="8" applyAlignment="1">
      <alignment horizontal="center"/>
    </xf>
    <xf numFmtId="0" fontId="66" fillId="0" borderId="0" xfId="8" applyFont="1" applyAlignment="1">
      <alignment horizontal="center"/>
    </xf>
    <xf numFmtId="0" fontId="62" fillId="0" borderId="4" xfId="8" applyBorder="1"/>
    <xf numFmtId="0" fontId="2" fillId="0" borderId="41" xfId="8" applyFont="1" applyBorder="1" applyAlignment="1"/>
    <xf numFmtId="0" fontId="60" fillId="0" borderId="1" xfId="8" applyFont="1" applyBorder="1"/>
    <xf numFmtId="0" fontId="2" fillId="0" borderId="1" xfId="8" applyFont="1" applyBorder="1"/>
    <xf numFmtId="0" fontId="2" fillId="0" borderId="3" xfId="8" applyFont="1" applyBorder="1"/>
    <xf numFmtId="0" fontId="2" fillId="0" borderId="0" xfId="8" applyFont="1" applyBorder="1"/>
    <xf numFmtId="176" fontId="66" fillId="0" borderId="40" xfId="8" applyNumberFormat="1" applyFont="1" applyBorder="1" applyAlignment="1">
      <alignment horizontal="center"/>
    </xf>
    <xf numFmtId="180" fontId="60" fillId="0" borderId="24" xfId="8" applyNumberFormat="1" applyFont="1" applyBorder="1" applyAlignment="1">
      <alignment horizontal="center"/>
    </xf>
    <xf numFmtId="0" fontId="45" fillId="0" borderId="0" xfId="0" applyFont="1" applyProtection="1">
      <alignment vertical="center"/>
      <protection hidden="1"/>
    </xf>
    <xf numFmtId="180" fontId="86" fillId="2" borderId="15" xfId="0" applyNumberFormat="1" applyFont="1" applyFill="1" applyBorder="1" applyAlignment="1" applyProtection="1">
      <alignment horizontal="center" vertical="center" shrinkToFit="1"/>
      <protection locked="0"/>
    </xf>
    <xf numFmtId="0" fontId="86" fillId="2" borderId="5" xfId="0" applyFont="1" applyFill="1" applyBorder="1" applyAlignment="1" applyProtection="1">
      <alignment horizontal="center" vertical="center" shrinkToFit="1"/>
      <protection locked="0"/>
    </xf>
    <xf numFmtId="180" fontId="87" fillId="2" borderId="15" xfId="0" applyNumberFormat="1" applyFont="1" applyFill="1" applyBorder="1" applyAlignment="1" applyProtection="1">
      <alignment horizontal="center" vertical="center" shrinkToFit="1"/>
      <protection locked="0"/>
    </xf>
    <xf numFmtId="0" fontId="87" fillId="2" borderId="5" xfId="0" applyFont="1" applyFill="1" applyBorder="1" applyAlignment="1" applyProtection="1">
      <alignment horizontal="center" vertical="center" shrinkToFit="1"/>
      <protection locked="0"/>
    </xf>
    <xf numFmtId="180" fontId="88" fillId="2" borderId="15" xfId="0" applyNumberFormat="1" applyFont="1" applyFill="1" applyBorder="1" applyAlignment="1" applyProtection="1">
      <alignment horizontal="center" vertical="center" shrinkToFit="1"/>
      <protection locked="0"/>
    </xf>
    <xf numFmtId="0" fontId="88" fillId="2" borderId="5" xfId="0" applyFont="1" applyFill="1" applyBorder="1" applyAlignment="1" applyProtection="1">
      <alignment horizontal="center" vertical="center" shrinkToFit="1"/>
      <protection locked="0"/>
    </xf>
    <xf numFmtId="0" fontId="0" fillId="7" borderId="0" xfId="0" applyFill="1">
      <alignment vertical="center"/>
    </xf>
    <xf numFmtId="0" fontId="61" fillId="0" borderId="28" xfId="0" applyFont="1" applyFill="1" applyBorder="1" applyAlignment="1" applyProtection="1">
      <alignment horizontal="center" vertical="center" shrinkToFit="1"/>
      <protection hidden="1"/>
    </xf>
    <xf numFmtId="177" fontId="61" fillId="0" borderId="28" xfId="0" applyNumberFormat="1" applyFont="1" applyFill="1" applyBorder="1" applyAlignment="1" applyProtection="1">
      <alignment horizontal="center" vertical="center" shrinkToFit="1"/>
      <protection hidden="1"/>
    </xf>
    <xf numFmtId="0" fontId="45" fillId="0" borderId="28" xfId="0" applyFont="1" applyFill="1" applyBorder="1" applyAlignment="1" applyProtection="1">
      <alignment horizontal="center" vertical="center" shrinkToFit="1"/>
      <protection hidden="1"/>
    </xf>
    <xf numFmtId="56" fontId="84" fillId="0" borderId="29" xfId="6" applyNumberFormat="1" applyFont="1" applyBorder="1" applyAlignment="1">
      <alignment vertical="center" shrinkToFit="1"/>
    </xf>
    <xf numFmtId="56" fontId="84" fillId="0" borderId="15" xfId="6" applyNumberFormat="1" applyFont="1" applyBorder="1" applyAlignment="1">
      <alignment vertical="center" shrinkToFit="1"/>
    </xf>
    <xf numFmtId="56" fontId="84" fillId="0" borderId="12" xfId="6" applyNumberFormat="1" applyFont="1" applyBorder="1" applyAlignment="1">
      <alignment vertical="center" shrinkToFit="1"/>
    </xf>
    <xf numFmtId="56" fontId="84" fillId="0" borderId="13" xfId="6" applyNumberFormat="1" applyFont="1" applyBorder="1" applyAlignment="1">
      <alignment vertical="center" shrinkToFit="1"/>
    </xf>
    <xf numFmtId="177" fontId="60" fillId="0" borderId="28" xfId="0" applyNumberFormat="1" applyFont="1" applyFill="1" applyBorder="1" applyAlignment="1" applyProtection="1">
      <alignment horizontal="center" vertical="center" shrinkToFit="1"/>
      <protection hidden="1"/>
    </xf>
    <xf numFmtId="0" fontId="15" fillId="0" borderId="45" xfId="0" applyFont="1" applyBorder="1" applyAlignment="1" applyProtection="1">
      <alignment horizontal="left" vertical="center" wrapText="1"/>
      <protection hidden="1"/>
    </xf>
    <xf numFmtId="0" fontId="15" fillId="0" borderId="32" xfId="0" applyFont="1" applyBorder="1" applyAlignment="1" applyProtection="1">
      <alignment horizontal="left" vertical="center" wrapText="1"/>
      <protection hidden="1"/>
    </xf>
    <xf numFmtId="0" fontId="15" fillId="0" borderId="33" xfId="0" applyFont="1" applyBorder="1" applyAlignment="1" applyProtection="1">
      <alignment horizontal="left" vertical="center" wrapText="1"/>
      <protection hidden="1"/>
    </xf>
    <xf numFmtId="0" fontId="90" fillId="2" borderId="0" xfId="0" applyFont="1" applyFill="1" applyBorder="1" applyAlignment="1" applyProtection="1">
      <alignment horizontal="right" vertical="center" shrinkToFit="1"/>
      <protection locked="0"/>
    </xf>
    <xf numFmtId="49" fontId="81" fillId="2" borderId="0" xfId="0" applyNumberFormat="1" applyFont="1" applyFill="1" applyBorder="1" applyAlignment="1" applyProtection="1">
      <alignment horizontal="right" vertical="center" wrapText="1"/>
      <protection locked="0"/>
    </xf>
    <xf numFmtId="176" fontId="18" fillId="0" borderId="45" xfId="0" applyNumberFormat="1" applyFont="1" applyFill="1" applyBorder="1" applyAlignment="1" applyProtection="1">
      <alignment horizontal="left" vertical="center" shrinkToFit="1"/>
      <protection hidden="1"/>
    </xf>
    <xf numFmtId="176" fontId="18" fillId="0" borderId="32" xfId="0" applyNumberFormat="1" applyFont="1" applyFill="1" applyBorder="1" applyAlignment="1" applyProtection="1">
      <alignment horizontal="left" vertical="center" shrinkToFit="1"/>
      <protection hidden="1"/>
    </xf>
    <xf numFmtId="176" fontId="18" fillId="0" borderId="33" xfId="0" applyNumberFormat="1" applyFont="1" applyFill="1" applyBorder="1" applyAlignment="1" applyProtection="1">
      <alignment horizontal="left" vertical="center" shrinkToFit="1"/>
      <protection hidden="1"/>
    </xf>
    <xf numFmtId="0" fontId="0" fillId="0" borderId="46" xfId="0" applyBorder="1" applyAlignment="1" applyProtection="1">
      <alignment horizontal="center" vertical="center" wrapText="1"/>
      <protection hidden="1"/>
    </xf>
    <xf numFmtId="0" fontId="0" fillId="0" borderId="47" xfId="0" applyBorder="1" applyAlignment="1" applyProtection="1">
      <alignment horizontal="center" vertical="center" wrapText="1"/>
      <protection hidden="1"/>
    </xf>
    <xf numFmtId="0" fontId="0" fillId="0" borderId="48" xfId="0" applyBorder="1" applyAlignment="1" applyProtection="1">
      <alignment horizontal="center" vertical="center" wrapText="1"/>
      <protection hidden="1"/>
    </xf>
    <xf numFmtId="0" fontId="0" fillId="0" borderId="49" xfId="0" applyBorder="1" applyAlignment="1" applyProtection="1">
      <alignment horizontal="center" vertical="center" wrapText="1"/>
      <protection hidden="1"/>
    </xf>
    <xf numFmtId="0" fontId="0" fillId="0" borderId="50" xfId="0" applyBorder="1" applyAlignment="1" applyProtection="1">
      <alignment horizontal="center" vertical="center" wrapText="1"/>
      <protection hidden="1"/>
    </xf>
    <xf numFmtId="0" fontId="58" fillId="0" borderId="46" xfId="0" applyFont="1" applyBorder="1" applyAlignment="1" applyProtection="1">
      <alignment horizontal="left" vertical="center" wrapText="1"/>
      <protection hidden="1"/>
    </xf>
    <xf numFmtId="0" fontId="58" fillId="0" borderId="47" xfId="0" applyFont="1" applyBorder="1" applyAlignment="1" applyProtection="1">
      <alignment horizontal="left" vertical="center" wrapText="1"/>
      <protection hidden="1"/>
    </xf>
    <xf numFmtId="0" fontId="58" fillId="0" borderId="50" xfId="0" applyFont="1" applyBorder="1" applyAlignment="1" applyProtection="1">
      <alignment horizontal="left" vertical="center" wrapText="1"/>
      <protection hidden="1"/>
    </xf>
    <xf numFmtId="0" fontId="81" fillId="3" borderId="0" xfId="0" applyFont="1" applyFill="1" applyBorder="1" applyAlignment="1" applyProtection="1">
      <alignment horizontal="right" vertical="center" shrinkToFit="1"/>
      <protection locked="0"/>
    </xf>
    <xf numFmtId="49" fontId="89" fillId="2" borderId="0" xfId="0" applyNumberFormat="1" applyFont="1" applyFill="1" applyBorder="1" applyAlignment="1" applyProtection="1">
      <alignment horizontal="right" vertical="center" wrapText="1"/>
      <protection locked="0"/>
    </xf>
    <xf numFmtId="0" fontId="15" fillId="0" borderId="44" xfId="0" applyFont="1" applyBorder="1" applyAlignment="1" applyProtection="1">
      <alignment horizontal="left" vertical="center" wrapText="1"/>
      <protection hidden="1"/>
    </xf>
    <xf numFmtId="0" fontId="15" fillId="0" borderId="27" xfId="0" applyFont="1" applyBorder="1" applyAlignment="1" applyProtection="1">
      <alignment horizontal="left" vertical="center" wrapText="1"/>
      <protection hidden="1"/>
    </xf>
    <xf numFmtId="0" fontId="15" fillId="0" borderId="28" xfId="0" applyFont="1" applyBorder="1" applyAlignment="1" applyProtection="1">
      <alignment horizontal="left" vertical="center" wrapText="1"/>
      <protection hidden="1"/>
    </xf>
    <xf numFmtId="0" fontId="26" fillId="4" borderId="0" xfId="0" applyFont="1" applyFill="1" applyBorder="1" applyAlignment="1">
      <alignment horizontal="center" vertical="center"/>
    </xf>
    <xf numFmtId="0" fontId="59" fillId="6" borderId="51" xfId="6" applyFont="1" applyFill="1" applyBorder="1" applyAlignment="1">
      <alignment horizontal="center" vertical="center"/>
    </xf>
    <xf numFmtId="0" fontId="59" fillId="6" borderId="52" xfId="6" applyFont="1" applyFill="1" applyBorder="1" applyAlignment="1">
      <alignment horizontal="center" vertical="center"/>
    </xf>
    <xf numFmtId="0" fontId="59" fillId="6" borderId="53" xfId="6" applyFont="1" applyFill="1" applyBorder="1" applyAlignment="1">
      <alignment horizontal="center" vertical="center"/>
    </xf>
    <xf numFmtId="0" fontId="59" fillId="3" borderId="51" xfId="6" applyFont="1" applyFill="1" applyBorder="1" applyAlignment="1">
      <alignment horizontal="center" vertical="center"/>
    </xf>
    <xf numFmtId="0" fontId="59" fillId="3" borderId="52" xfId="6" applyFont="1" applyFill="1" applyBorder="1" applyAlignment="1">
      <alignment horizontal="center" vertical="center"/>
    </xf>
    <xf numFmtId="0" fontId="59" fillId="3" borderId="53" xfId="6" applyFont="1" applyFill="1" applyBorder="1" applyAlignment="1">
      <alignment horizontal="center" vertical="center"/>
    </xf>
    <xf numFmtId="0" fontId="52" fillId="2" borderId="42" xfId="6" applyFont="1" applyFill="1" applyBorder="1" applyAlignment="1" applyProtection="1">
      <alignment horizontal="center" vertical="center" wrapText="1"/>
      <protection locked="0"/>
    </xf>
    <xf numFmtId="0" fontId="52" fillId="2" borderId="40" xfId="6" applyFont="1" applyFill="1" applyBorder="1" applyAlignment="1" applyProtection="1">
      <alignment horizontal="center" vertical="center" wrapText="1"/>
      <protection locked="0"/>
    </xf>
    <xf numFmtId="0" fontId="52" fillId="2" borderId="43" xfId="6" applyFont="1" applyFill="1" applyBorder="1" applyAlignment="1" applyProtection="1">
      <alignment horizontal="center" vertical="center" wrapText="1"/>
      <protection locked="0"/>
    </xf>
    <xf numFmtId="0" fontId="25" fillId="0" borderId="0" xfId="3" applyFont="1" applyBorder="1" applyAlignment="1">
      <alignment vertical="center" wrapText="1"/>
    </xf>
    <xf numFmtId="0" fontId="34" fillId="0" borderId="35" xfId="7" applyFont="1" applyBorder="1" applyAlignment="1">
      <alignment vertical="center" wrapText="1"/>
    </xf>
    <xf numFmtId="0" fontId="34" fillId="0" borderId="57" xfId="7" applyFont="1" applyBorder="1" applyAlignment="1">
      <alignment vertical="center" wrapText="1"/>
    </xf>
    <xf numFmtId="0" fontId="31" fillId="0" borderId="35" xfId="7" applyFont="1" applyBorder="1" applyAlignment="1">
      <alignment vertical="center"/>
    </xf>
    <xf numFmtId="0" fontId="31" fillId="0" borderId="57" xfId="7" applyFont="1" applyBorder="1" applyAlignment="1">
      <alignment vertical="center"/>
    </xf>
    <xf numFmtId="185" fontId="34" fillId="0" borderId="35" xfId="7" applyNumberFormat="1" applyFont="1" applyBorder="1" applyAlignment="1">
      <alignment vertical="center"/>
    </xf>
    <xf numFmtId="185" fontId="34" fillId="0" borderId="57" xfId="7" applyNumberFormat="1" applyFont="1" applyBorder="1" applyAlignment="1">
      <alignment vertical="center"/>
    </xf>
    <xf numFmtId="0" fontId="34" fillId="0" borderId="37" xfId="7" applyFont="1" applyBorder="1" applyAlignment="1">
      <alignment horizontal="left" vertical="center" wrapText="1"/>
    </xf>
    <xf numFmtId="0" fontId="31" fillId="0" borderId="37" xfId="7" applyFont="1" applyBorder="1" applyAlignment="1">
      <alignment horizontal="center" vertical="center"/>
    </xf>
    <xf numFmtId="0" fontId="34" fillId="0" borderId="37" xfId="7" applyFont="1" applyBorder="1" applyAlignment="1">
      <alignment horizontal="left" vertical="center"/>
    </xf>
    <xf numFmtId="0" fontId="34" fillId="5" borderId="54" xfId="7" applyFont="1" applyFill="1" applyBorder="1" applyAlignment="1">
      <alignment horizontal="center" vertical="center" wrapText="1"/>
    </xf>
    <xf numFmtId="0" fontId="0" fillId="5" borderId="55" xfId="0" applyFill="1" applyBorder="1" applyAlignment="1">
      <alignment horizontal="center" vertical="center" wrapText="1"/>
    </xf>
    <xf numFmtId="0" fontId="34" fillId="5" borderId="56" xfId="7" applyFont="1" applyFill="1" applyBorder="1" applyAlignment="1">
      <alignment horizontal="center" vertical="center" wrapText="1"/>
    </xf>
    <xf numFmtId="0" fontId="34" fillId="5" borderId="39" xfId="7" applyFont="1" applyFill="1" applyBorder="1" applyAlignment="1">
      <alignment horizontal="center" vertical="center" wrapText="1"/>
    </xf>
    <xf numFmtId="0" fontId="31" fillId="4" borderId="57" xfId="7" applyFont="1" applyFill="1" applyBorder="1" applyAlignment="1">
      <alignment vertical="center"/>
    </xf>
    <xf numFmtId="0" fontId="34" fillId="5" borderId="58" xfId="7" applyFont="1" applyFill="1" applyBorder="1" applyAlignment="1">
      <alignment horizontal="center" vertical="center" wrapText="1"/>
    </xf>
    <xf numFmtId="0" fontId="34" fillId="5" borderId="59" xfId="7" applyFont="1" applyFill="1" applyBorder="1" applyAlignment="1">
      <alignment horizontal="center" vertical="center" wrapText="1"/>
    </xf>
    <xf numFmtId="0" fontId="34" fillId="5" borderId="60" xfId="7" applyFont="1" applyFill="1" applyBorder="1" applyAlignment="1">
      <alignment horizontal="center" vertical="center" wrapText="1"/>
    </xf>
    <xf numFmtId="0" fontId="2" fillId="0" borderId="26" xfId="8" applyFont="1" applyBorder="1" applyAlignment="1">
      <alignment horizontal="center" shrinkToFit="1"/>
    </xf>
    <xf numFmtId="0" fontId="2" fillId="0" borderId="27" xfId="8" applyFont="1" applyBorder="1" applyAlignment="1">
      <alignment horizontal="center" shrinkToFit="1"/>
    </xf>
    <xf numFmtId="0" fontId="2" fillId="0" borderId="28" xfId="8" applyFont="1" applyBorder="1" applyAlignment="1">
      <alignment horizontal="center" shrinkToFit="1"/>
    </xf>
    <xf numFmtId="0" fontId="60" fillId="0" borderId="3" xfId="8" applyFont="1" applyBorder="1" applyAlignment="1">
      <alignment horizontal="center" shrinkToFit="1"/>
    </xf>
    <xf numFmtId="0" fontId="66" fillId="0" borderId="21" xfId="8" applyFont="1" applyBorder="1" applyAlignment="1">
      <alignment horizontal="center" shrinkToFit="1"/>
    </xf>
    <xf numFmtId="0" fontId="67" fillId="0" borderId="3" xfId="8" applyFont="1" applyBorder="1" applyAlignment="1">
      <alignment horizontal="center"/>
    </xf>
    <xf numFmtId="0" fontId="68" fillId="0" borderId="21" xfId="8" applyFont="1" applyBorder="1" applyAlignment="1">
      <alignment horizontal="center"/>
    </xf>
    <xf numFmtId="0" fontId="60" fillId="0" borderId="3" xfId="8" applyFont="1" applyBorder="1" applyAlignment="1">
      <alignment horizontal="center"/>
    </xf>
    <xf numFmtId="0" fontId="66" fillId="0" borderId="21" xfId="8" applyFont="1" applyBorder="1" applyAlignment="1">
      <alignment horizontal="center"/>
    </xf>
    <xf numFmtId="0" fontId="60" fillId="0" borderId="1" xfId="8" applyFont="1" applyBorder="1" applyAlignment="1">
      <alignment horizontal="center"/>
    </xf>
    <xf numFmtId="0" fontId="66" fillId="0" borderId="2" xfId="8" applyFont="1" applyBorder="1" applyAlignment="1">
      <alignment horizontal="center"/>
    </xf>
    <xf numFmtId="0" fontId="62" fillId="0" borderId="1" xfId="8" applyBorder="1" applyAlignment="1">
      <alignment horizontal="center"/>
    </xf>
    <xf numFmtId="0" fontId="62" fillId="0" borderId="2" xfId="8" applyBorder="1" applyAlignment="1">
      <alignment horizontal="center"/>
    </xf>
    <xf numFmtId="0" fontId="62" fillId="0" borderId="42" xfId="8" applyBorder="1" applyAlignment="1">
      <alignment horizontal="center"/>
    </xf>
    <xf numFmtId="0" fontId="62" fillId="0" borderId="43" xfId="8" applyBorder="1" applyAlignment="1">
      <alignment horizontal="center"/>
    </xf>
    <xf numFmtId="0" fontId="62" fillId="0" borderId="27" xfId="8" applyBorder="1" applyAlignment="1">
      <alignment shrinkToFit="1"/>
    </xf>
    <xf numFmtId="0" fontId="62" fillId="0" borderId="28" xfId="8" applyBorder="1" applyAlignment="1">
      <alignment shrinkToFit="1"/>
    </xf>
    <xf numFmtId="0" fontId="2" fillId="0" borderId="26" xfId="8" applyFont="1" applyBorder="1" applyAlignment="1">
      <alignment horizontal="center"/>
    </xf>
    <xf numFmtId="0" fontId="2" fillId="0" borderId="28" xfId="8" applyFont="1" applyBorder="1" applyAlignment="1">
      <alignment horizontal="center"/>
    </xf>
    <xf numFmtId="0" fontId="62" fillId="0" borderId="26" xfId="8" applyBorder="1" applyAlignment="1">
      <alignment horizontal="center"/>
    </xf>
    <xf numFmtId="0" fontId="62" fillId="0" borderId="27" xfId="8" applyBorder="1" applyAlignment="1">
      <alignment horizontal="center"/>
    </xf>
    <xf numFmtId="0" fontId="62" fillId="0" borderId="28" xfId="8" applyBorder="1" applyAlignment="1">
      <alignment horizontal="center"/>
    </xf>
    <xf numFmtId="0" fontId="62" fillId="0" borderId="3" xfId="8" applyBorder="1" applyAlignment="1">
      <alignment horizontal="center"/>
    </xf>
    <xf numFmtId="0" fontId="62" fillId="0" borderId="21" xfId="8" applyBorder="1" applyAlignment="1">
      <alignment horizontal="center"/>
    </xf>
    <xf numFmtId="0" fontId="2" fillId="0" borderId="27" xfId="8" applyFont="1" applyBorder="1" applyAlignment="1">
      <alignment horizontal="center"/>
    </xf>
    <xf numFmtId="180" fontId="66" fillId="0" borderId="26" xfId="8" applyNumberFormat="1" applyFont="1" applyBorder="1" applyAlignment="1">
      <alignment horizontal="center"/>
    </xf>
    <xf numFmtId="180" fontId="66" fillId="0" borderId="28" xfId="8" applyNumberFormat="1" applyFont="1" applyBorder="1" applyAlignment="1">
      <alignment horizontal="center"/>
    </xf>
    <xf numFmtId="176" fontId="66" fillId="0" borderId="26" xfId="8" applyNumberFormat="1" applyFont="1" applyBorder="1" applyAlignment="1">
      <alignment horizontal="center"/>
    </xf>
    <xf numFmtId="176" fontId="66" fillId="0" borderId="27" xfId="8" applyNumberFormat="1" applyFont="1" applyBorder="1" applyAlignment="1">
      <alignment horizontal="center"/>
    </xf>
    <xf numFmtId="176" fontId="66" fillId="0" borderId="28" xfId="8" applyNumberFormat="1" applyFont="1" applyBorder="1" applyAlignment="1">
      <alignment horizontal="center"/>
    </xf>
    <xf numFmtId="0" fontId="15" fillId="0" borderId="26" xfId="8" applyFont="1" applyBorder="1" applyAlignment="1">
      <alignment horizontal="center" wrapText="1"/>
    </xf>
    <xf numFmtId="0" fontId="15" fillId="0" borderId="28" xfId="8" applyFont="1" applyBorder="1" applyAlignment="1">
      <alignment horizontal="center"/>
    </xf>
  </cellXfs>
  <cellStyles count="9">
    <cellStyle name="桁区切り 2" xfId="1"/>
    <cellStyle name="桁区切り 3" xfId="2"/>
    <cellStyle name="標準" xfId="0" builtinId="0"/>
    <cellStyle name="標準 2" xfId="3"/>
    <cellStyle name="標準 2 2" xfId="4"/>
    <cellStyle name="標準 3" xfId="5"/>
    <cellStyle name="標準 4" xfId="6"/>
    <cellStyle name="標準 5" xfId="7"/>
    <cellStyle name="標準 6" xfId="8"/>
  </cellStyles>
  <dxfs count="520">
    <dxf>
      <font>
        <color rgb="FF0000FF"/>
      </font>
    </dxf>
    <dxf>
      <font>
        <color rgb="FFFF0000"/>
      </font>
    </dxf>
    <dxf>
      <font>
        <color rgb="FF0000FF"/>
      </font>
    </dxf>
    <dxf>
      <font>
        <color rgb="FFFF0000"/>
      </font>
    </dxf>
    <dxf>
      <font>
        <color rgb="FF0000FF"/>
      </font>
    </dxf>
    <dxf>
      <font>
        <color rgb="FFFF0000"/>
      </font>
    </dxf>
    <dxf>
      <font>
        <color rgb="FFFF0000"/>
      </font>
    </dxf>
    <dxf>
      <font>
        <color rgb="FF0000FF"/>
      </font>
    </dxf>
    <dxf>
      <font>
        <color rgb="FFFF0000"/>
      </font>
    </dxf>
    <dxf>
      <font>
        <color rgb="FFFF0000"/>
      </font>
    </dxf>
    <dxf>
      <font>
        <color rgb="FF0000FF"/>
      </font>
    </dxf>
    <dxf>
      <font>
        <color rgb="FF0000FF"/>
      </font>
    </dxf>
    <dxf>
      <font>
        <color rgb="FF0000FF"/>
      </font>
    </dxf>
    <dxf>
      <font>
        <color rgb="FFFF0000"/>
      </font>
    </dxf>
    <dxf>
      <font>
        <color rgb="FFFF0000"/>
      </font>
    </dxf>
    <dxf>
      <font>
        <color rgb="FF0000FF"/>
      </font>
    </dxf>
    <dxf>
      <font>
        <color rgb="FFFF0000"/>
      </font>
    </dxf>
    <dxf>
      <font>
        <color rgb="FFFF0000"/>
      </font>
    </dxf>
    <dxf>
      <font>
        <color rgb="FF0000FF"/>
      </font>
    </dxf>
    <dxf>
      <font>
        <color rgb="FF0000FF"/>
      </font>
    </dxf>
    <dxf>
      <font>
        <color rgb="FF0000FF"/>
      </font>
    </dxf>
    <dxf>
      <font>
        <color rgb="FFFF0000"/>
      </font>
    </dxf>
    <dxf>
      <font>
        <color rgb="FFFF0000"/>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0000FF"/>
      </font>
    </dxf>
    <dxf>
      <font>
        <color rgb="FFFF0000"/>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ill>
        <patternFill>
          <bgColor theme="9" tint="0.39994506668294322"/>
        </patternFill>
      </fill>
    </dxf>
    <dxf>
      <fill>
        <patternFill>
          <bgColor theme="9" tint="0.39994506668294322"/>
        </patternFill>
      </fill>
    </dxf>
    <dxf>
      <fill>
        <patternFill>
          <bgColor rgb="FFFFFF00"/>
        </patternFill>
      </fill>
    </dxf>
    <dxf>
      <font>
        <b/>
        <i val="0"/>
        <color rgb="FFFF0000"/>
      </font>
      <fill>
        <patternFill>
          <bgColor rgb="FFB2B2B2"/>
        </patternFill>
      </fill>
    </dxf>
    <dxf>
      <fill>
        <patternFill>
          <bgColor theme="6" tint="0.39994506668294322"/>
        </patternFill>
      </fill>
    </dxf>
    <dxf>
      <fill>
        <patternFill patternType="none">
          <bgColor indexed="65"/>
        </patternFill>
      </fill>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0000FF"/>
      </font>
    </dxf>
    <dxf>
      <font>
        <color rgb="FFFF0000"/>
      </font>
    </dxf>
    <dxf>
      <font>
        <color rgb="FF0000FF"/>
      </font>
    </dxf>
    <dxf>
      <font>
        <color rgb="FFFF0000"/>
      </font>
    </dxf>
    <dxf>
      <font>
        <color rgb="FFFF0000"/>
      </font>
    </dxf>
    <dxf>
      <font>
        <color rgb="FF0000FF"/>
      </font>
    </dxf>
    <dxf>
      <font>
        <color rgb="FF0000FF"/>
      </font>
    </dxf>
    <dxf>
      <font>
        <color rgb="FFFF0000"/>
      </font>
    </dxf>
    <dxf>
      <font>
        <color rgb="FF0000FF"/>
      </font>
    </dxf>
    <dxf>
      <font>
        <color rgb="FFFF0000"/>
      </font>
    </dxf>
    <dxf>
      <font>
        <color rgb="FF0000FF"/>
      </font>
    </dxf>
    <dxf>
      <font>
        <color rgb="FFFF0000"/>
      </font>
    </dxf>
    <dxf>
      <font>
        <color rgb="FFFF0000"/>
      </font>
    </dxf>
    <dxf>
      <font>
        <color rgb="FF0000FF"/>
      </font>
    </dxf>
    <dxf>
      <font>
        <color rgb="FF0000FF"/>
      </font>
    </dxf>
    <dxf>
      <font>
        <color rgb="FFFF0000"/>
      </font>
    </dxf>
    <dxf>
      <font>
        <color rgb="FF0000FF"/>
      </font>
    </dxf>
    <dxf>
      <font>
        <color rgb="FFFF0000"/>
      </font>
    </dxf>
    <dxf>
      <font>
        <color rgb="FF0000FF"/>
      </font>
    </dxf>
    <dxf>
      <font>
        <color rgb="FFFF0000"/>
      </font>
    </dxf>
    <dxf>
      <font>
        <color rgb="FFFF0000"/>
      </font>
    </dxf>
    <dxf>
      <font>
        <color rgb="FF0000FF"/>
      </font>
    </dxf>
    <dxf>
      <font>
        <color rgb="FFFF0000"/>
      </font>
    </dxf>
    <dxf>
      <font>
        <color rgb="FFFF0000"/>
      </font>
    </dxf>
    <dxf>
      <font>
        <color rgb="FF0000FF"/>
      </font>
    </dxf>
    <dxf>
      <font>
        <color rgb="FF0000FF"/>
      </font>
    </dxf>
    <dxf>
      <font>
        <color rgb="FF0000FF"/>
      </font>
    </dxf>
    <dxf>
      <font>
        <color rgb="FFFF0000"/>
      </font>
    </dxf>
    <dxf>
      <font>
        <color rgb="FFFF0000"/>
      </font>
    </dxf>
    <dxf>
      <font>
        <color rgb="FF0000FF"/>
      </font>
    </dxf>
    <dxf>
      <font>
        <color rgb="FFFF0000"/>
      </font>
    </dxf>
    <dxf>
      <font>
        <color rgb="FFFF0000"/>
      </font>
    </dxf>
    <dxf>
      <font>
        <color rgb="FF0000FF"/>
      </font>
    </dxf>
    <dxf>
      <font>
        <color rgb="FF0000FF"/>
      </font>
    </dxf>
    <dxf>
      <font>
        <color rgb="FF0000FF"/>
      </font>
    </dxf>
    <dxf>
      <font>
        <color rgb="FFFF0000"/>
      </font>
    </dxf>
    <dxf>
      <font>
        <color rgb="FFFF0000"/>
      </font>
    </dxf>
    <dxf>
      <font>
        <color rgb="FF0000FF"/>
      </font>
    </dxf>
    <dxf>
      <font>
        <color rgb="FFFF0000"/>
      </font>
    </dxf>
    <dxf>
      <font>
        <color rgb="FFFF0000"/>
      </font>
    </dxf>
    <dxf>
      <font>
        <color rgb="FF0000FF"/>
      </font>
    </dxf>
    <dxf>
      <font>
        <color rgb="FF0000FF"/>
      </font>
    </dxf>
    <dxf>
      <font>
        <color rgb="FF0000FF"/>
      </font>
    </dxf>
    <dxf>
      <font>
        <color rgb="FFFF0000"/>
      </font>
    </dxf>
    <dxf>
      <font>
        <color rgb="FFFF0000"/>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0000FF"/>
      </font>
    </dxf>
    <dxf>
      <font>
        <color rgb="FFFF0000"/>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ont>
        <color rgb="FFFF0000"/>
      </font>
    </dxf>
    <dxf>
      <font>
        <color rgb="FFFF0000"/>
      </font>
    </dxf>
    <dxf>
      <font>
        <color rgb="FF0000FF"/>
      </font>
    </dxf>
    <dxf>
      <font>
        <color rgb="FF0000FF"/>
      </font>
    </dxf>
    <dxf>
      <fill>
        <patternFill>
          <bgColor theme="9" tint="0.39994506668294322"/>
        </patternFill>
      </fill>
    </dxf>
    <dxf>
      <fill>
        <patternFill>
          <bgColor theme="9" tint="0.39994506668294322"/>
        </patternFill>
      </fill>
    </dxf>
    <dxf>
      <fill>
        <patternFill>
          <bgColor rgb="FFFFFF00"/>
        </patternFill>
      </fill>
    </dxf>
    <dxf>
      <font>
        <b/>
        <i val="0"/>
        <color rgb="FFFF0000"/>
      </font>
      <fill>
        <patternFill>
          <bgColor rgb="FFB2B2B2"/>
        </patternFill>
      </fill>
    </dxf>
    <dxf>
      <fill>
        <patternFill>
          <bgColor theme="6" tint="0.39994506668294322"/>
        </patternFill>
      </fill>
    </dxf>
    <dxf>
      <fill>
        <patternFill patternType="none">
          <bgColor indexed="65"/>
        </patternFill>
      </fill>
    </dxf>
  </dxfs>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14</xdr:col>
      <xdr:colOff>352425</xdr:colOff>
      <xdr:row>16</xdr:row>
      <xdr:rowOff>95250</xdr:rowOff>
    </xdr:from>
    <xdr:to>
      <xdr:col>27</xdr:col>
      <xdr:colOff>266700</xdr:colOff>
      <xdr:row>33</xdr:row>
      <xdr:rowOff>9526</xdr:rowOff>
    </xdr:to>
    <xdr:sp macro="" textlink="">
      <xdr:nvSpPr>
        <xdr:cNvPr id="2" name="正方形/長方形 1"/>
        <xdr:cNvSpPr/>
      </xdr:nvSpPr>
      <xdr:spPr>
        <a:xfrm>
          <a:off x="5305425" y="2838450"/>
          <a:ext cx="5610225" cy="2828926"/>
        </a:xfrm>
        <a:prstGeom prst="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4400" b="1" cap="none" spc="200">
              <a:ln w="29210">
                <a:solidFill>
                  <a:schemeClr val="accent3">
                    <a:tint val="10000"/>
                  </a:schemeClr>
                </a:solidFill>
              </a:ln>
              <a:solidFill>
                <a:schemeClr val="accent3">
                  <a:satMod val="200000"/>
                  <a:alpha val="50000"/>
                </a:schemeClr>
              </a:solidFill>
              <a:effectLst>
                <a:innerShdw blurRad="50800" dist="50800" dir="8100000">
                  <a:srgbClr val="7D7D7D">
                    <a:alpha val="73000"/>
                  </a:srgbClr>
                </a:innerShdw>
              </a:effectLst>
            </a:rPr>
            <a:t>Please</a:t>
          </a:r>
          <a:r>
            <a:rPr kumimoji="1" lang="en-US" altLang="ja-JP" sz="4400" b="1" cap="none" spc="200" baseline="0">
              <a:ln w="29210">
                <a:solidFill>
                  <a:schemeClr val="accent3">
                    <a:tint val="10000"/>
                  </a:schemeClr>
                </a:solidFill>
              </a:ln>
              <a:solidFill>
                <a:schemeClr val="accent3">
                  <a:satMod val="200000"/>
                  <a:alpha val="50000"/>
                </a:schemeClr>
              </a:solidFill>
              <a:effectLst>
                <a:innerShdw blurRad="50800" dist="50800" dir="8100000">
                  <a:srgbClr val="7D7D7D">
                    <a:alpha val="73000"/>
                  </a:srgbClr>
                </a:innerShdw>
              </a:effectLst>
            </a:rPr>
            <a:t> </a:t>
          </a:r>
          <a:r>
            <a:rPr kumimoji="1" lang="en-US" altLang="ja-JP" sz="4400" b="1" cap="none" spc="200">
              <a:ln w="29210">
                <a:solidFill>
                  <a:schemeClr val="accent3">
                    <a:tint val="10000"/>
                  </a:schemeClr>
                </a:solidFill>
              </a:ln>
              <a:solidFill>
                <a:schemeClr val="accent3">
                  <a:satMod val="200000"/>
                  <a:alpha val="50000"/>
                </a:schemeClr>
              </a:solidFill>
              <a:effectLst>
                <a:innerShdw blurRad="50800" dist="50800" dir="8100000">
                  <a:srgbClr val="7D7D7D">
                    <a:alpha val="73000"/>
                  </a:srgbClr>
                </a:innerShdw>
              </a:effectLst>
            </a:rPr>
            <a:t>do not</a:t>
          </a:r>
          <a:r>
            <a:rPr kumimoji="1" lang="en-US" altLang="ja-JP" sz="4400" b="1" cap="none" spc="200" baseline="0">
              <a:ln w="29210">
                <a:solidFill>
                  <a:schemeClr val="accent3">
                    <a:tint val="10000"/>
                  </a:schemeClr>
                </a:solidFill>
              </a:ln>
              <a:solidFill>
                <a:schemeClr val="accent3">
                  <a:satMod val="200000"/>
                  <a:alpha val="50000"/>
                </a:schemeClr>
              </a:solidFill>
              <a:effectLst>
                <a:innerShdw blurRad="50800" dist="50800" dir="8100000">
                  <a:srgbClr val="7D7D7D">
                    <a:alpha val="73000"/>
                  </a:srgbClr>
                </a:innerShdw>
              </a:effectLst>
            </a:rPr>
            <a:t> change  anything in this sheet</a:t>
          </a:r>
          <a:endParaRPr kumimoji="1" lang="ja-JP" altLang="en-US" sz="4400" b="1" cap="none" spc="200">
            <a:ln w="29210">
              <a:solidFill>
                <a:schemeClr val="accent3">
                  <a:tint val="10000"/>
                </a:schemeClr>
              </a:solidFill>
            </a:ln>
            <a:solidFill>
              <a:schemeClr val="accent3">
                <a:satMod val="200000"/>
                <a:alpha val="50000"/>
              </a:schemeClr>
            </a:solidFill>
            <a:effectLst>
              <a:innerShdw blurRad="50800" dist="50800" dir="8100000">
                <a:srgbClr val="7D7D7D">
                  <a:alpha val="73000"/>
                </a:srgbClr>
              </a:innerShdw>
            </a:effectLst>
          </a:endParaRP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7.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sheetPr codeName="Sheet3">
    <tabColor rgb="FF00B050"/>
    <pageSetUpPr fitToPage="1"/>
  </sheetPr>
  <dimension ref="A1:AK69"/>
  <sheetViews>
    <sheetView tabSelected="1" topLeftCell="A4" zoomScaleNormal="100" workbookViewId="0">
      <selection activeCell="D12" sqref="D12"/>
    </sheetView>
  </sheetViews>
  <sheetFormatPr defaultRowHeight="13.5" outlineLevelCol="1"/>
  <cols>
    <col min="1" max="1" width="6.625" style="8" customWidth="1"/>
    <col min="2" max="2" width="4.625" style="8" customWidth="1"/>
    <col min="3" max="14" width="5.625" style="8" customWidth="1"/>
    <col min="15" max="15" width="5.375" style="8" customWidth="1"/>
    <col min="16" max="16" width="5.625" style="8" customWidth="1"/>
    <col min="17" max="17" width="6.875" style="8" customWidth="1"/>
    <col min="18" max="18" width="20.25" style="8" customWidth="1"/>
    <col min="19" max="22" width="6.125" style="9" hidden="1" customWidth="1" outlineLevel="1"/>
    <col min="23" max="23" width="3.625" style="8" hidden="1" customWidth="1" outlineLevel="1"/>
    <col min="24" max="24" width="6.5" style="10" hidden="1" customWidth="1" outlineLevel="1"/>
    <col min="25" max="25" width="9" style="10" collapsed="1"/>
    <col min="26" max="26" width="9" style="10"/>
    <col min="27" max="27" width="11.625" style="10" bestFit="1" customWidth="1"/>
    <col min="28" max="37" width="9" style="10"/>
    <col min="38" max="16384" width="9" style="8"/>
  </cols>
  <sheetData>
    <row r="1" spans="1:37" s="4" customFormat="1" ht="18.75">
      <c r="L1" s="5" t="s">
        <v>9</v>
      </c>
      <c r="S1" s="6"/>
      <c r="T1" s="6"/>
      <c r="U1" s="6"/>
      <c r="V1" s="6"/>
    </row>
    <row r="2" spans="1:37" s="4" customFormat="1" ht="18">
      <c r="L2" s="7" t="s">
        <v>10</v>
      </c>
      <c r="S2" s="6"/>
      <c r="T2" s="6"/>
      <c r="U2" s="6"/>
      <c r="V2" s="6"/>
    </row>
    <row r="3" spans="1:37" s="150" customFormat="1" ht="10.5" customHeight="1">
      <c r="L3" s="154"/>
      <c r="S3" s="155"/>
      <c r="T3" s="155"/>
      <c r="U3" s="155"/>
      <c r="V3" s="155"/>
      <c r="X3" s="153"/>
      <c r="Y3" s="153"/>
      <c r="Z3" s="153"/>
      <c r="AA3" s="153"/>
      <c r="AB3" s="153"/>
      <c r="AC3" s="153"/>
      <c r="AD3" s="153"/>
      <c r="AE3" s="153"/>
      <c r="AF3" s="153"/>
      <c r="AG3" s="153"/>
      <c r="AH3" s="153"/>
      <c r="AI3" s="153"/>
      <c r="AJ3" s="153"/>
      <c r="AK3" s="153"/>
    </row>
    <row r="4" spans="1:37" s="150" customFormat="1" ht="14.25" customHeight="1">
      <c r="A4" s="157" t="s">
        <v>110</v>
      </c>
      <c r="B4" s="158"/>
      <c r="C4" s="159"/>
      <c r="D4" s="268" t="s">
        <v>201</v>
      </c>
      <c r="E4" s="268"/>
      <c r="F4" s="268"/>
      <c r="L4" s="151"/>
      <c r="M4" s="162" t="s">
        <v>17</v>
      </c>
      <c r="N4" s="158"/>
      <c r="O4" s="158"/>
      <c r="P4" s="158"/>
      <c r="Q4" s="158"/>
      <c r="R4" s="194" t="s">
        <v>198</v>
      </c>
      <c r="S4" s="156"/>
      <c r="T4" s="156"/>
      <c r="U4" s="156"/>
      <c r="V4" s="156"/>
      <c r="X4" s="153"/>
      <c r="Y4" s="153"/>
      <c r="Z4" s="153"/>
      <c r="AA4" s="153"/>
      <c r="AB4" s="153"/>
      <c r="AC4" s="153"/>
      <c r="AD4" s="153"/>
      <c r="AE4" s="153"/>
      <c r="AF4" s="153"/>
      <c r="AG4" s="153"/>
      <c r="AH4" s="153"/>
      <c r="AI4" s="153"/>
      <c r="AJ4" s="153"/>
      <c r="AK4" s="153"/>
    </row>
    <row r="5" spans="1:37" ht="14.25" customHeight="1">
      <c r="A5" s="160" t="s">
        <v>111</v>
      </c>
      <c r="B5" s="158"/>
      <c r="C5" s="159"/>
      <c r="D5" s="269"/>
      <c r="E5" s="269"/>
      <c r="F5" s="269"/>
      <c r="L5" s="12"/>
      <c r="M5" s="162" t="s">
        <v>2</v>
      </c>
      <c r="N5" s="158"/>
      <c r="O5" s="158"/>
      <c r="P5" s="158"/>
      <c r="Q5" s="158"/>
      <c r="R5" s="195" t="s">
        <v>199</v>
      </c>
      <c r="S5" s="1"/>
      <c r="T5" s="1"/>
      <c r="U5" s="1"/>
      <c r="V5" s="1"/>
    </row>
    <row r="6" spans="1:37" s="150" customFormat="1" ht="14.25" customHeight="1">
      <c r="A6" s="160" t="s">
        <v>112</v>
      </c>
      <c r="B6" s="158"/>
      <c r="C6" s="159"/>
      <c r="D6" s="282" t="s">
        <v>197</v>
      </c>
      <c r="E6" s="282"/>
      <c r="F6" s="282"/>
      <c r="L6" s="152"/>
      <c r="M6" s="162" t="s">
        <v>43</v>
      </c>
      <c r="N6" s="158"/>
      <c r="O6" s="158"/>
      <c r="P6" s="158"/>
      <c r="Q6" s="158"/>
      <c r="R6" s="185" t="str">
        <f>IF(E7&lt;10,F7&amp;"/0"&amp;E7,F7&amp;"/"&amp;E7)</f>
        <v>2015/03</v>
      </c>
      <c r="S6" s="149">
        <f>MONTH(DATE($F$7,$E$7,$D$7)+30)</f>
        <v>3</v>
      </c>
      <c r="T6" s="149">
        <f>MONTH(DATE($F$7,$E$7,$D$7)+29)</f>
        <v>3</v>
      </c>
      <c r="U6" s="149">
        <f>MONTH(DATE($F$7,$E$7,$D$7)+28)</f>
        <v>3</v>
      </c>
      <c r="V6" s="149">
        <f>MONTH(DATE($F$7,$E$7,$D$7)+27)</f>
        <v>3</v>
      </c>
      <c r="X6" s="153"/>
      <c r="Y6" s="153"/>
      <c r="Z6" s="153"/>
      <c r="AA6" s="153"/>
      <c r="AB6" s="153"/>
      <c r="AC6" s="153"/>
      <c r="AD6" s="153"/>
      <c r="AE6" s="153"/>
      <c r="AF6" s="153"/>
      <c r="AG6" s="153"/>
      <c r="AH6" s="153"/>
      <c r="AI6" s="153"/>
      <c r="AJ6" s="153"/>
      <c r="AK6" s="153"/>
    </row>
    <row r="7" spans="1:37" ht="14.25" customHeight="1">
      <c r="A7" s="160" t="s">
        <v>113</v>
      </c>
      <c r="B7" s="158"/>
      <c r="C7" s="158"/>
      <c r="D7" s="184">
        <v>1</v>
      </c>
      <c r="E7" s="184">
        <v>3</v>
      </c>
      <c r="F7" s="184">
        <v>2015</v>
      </c>
      <c r="G7" s="14"/>
      <c r="H7" s="14"/>
      <c r="I7" s="14"/>
      <c r="J7" s="13"/>
      <c r="K7" s="13"/>
      <c r="L7" s="13"/>
      <c r="M7" s="163" t="s">
        <v>64</v>
      </c>
      <c r="N7" s="158"/>
      <c r="O7" s="164"/>
      <c r="P7" s="158"/>
      <c r="Q7" s="158"/>
      <c r="R7" s="193">
        <v>0.33333333333333331</v>
      </c>
      <c r="S7" s="3">
        <f>IF(D7=1,IF(S6&gt;E7,IF(T6&gt;E7,IF(U6&gt;E7,IF(V6&gt;E7,"",D7+27),D7+28),D7+29),D7+30),D7-1)</f>
        <v>31</v>
      </c>
      <c r="T7" s="3">
        <f>IF(D7&lt;S7,E7,IF(E7+1&gt;12,E7-11,E7+1))</f>
        <v>3</v>
      </c>
      <c r="U7" s="3">
        <f>IF(E7&gt;T7,F7+1,F7)</f>
        <v>2015</v>
      </c>
    </row>
    <row r="8" spans="1:37" ht="14.25" customHeight="1">
      <c r="A8" s="160" t="s">
        <v>114</v>
      </c>
      <c r="B8" s="161"/>
      <c r="C8" s="161"/>
      <c r="D8" s="281" t="s">
        <v>116</v>
      </c>
      <c r="E8" s="281"/>
      <c r="F8" s="281"/>
      <c r="G8" s="14"/>
      <c r="H8" s="14"/>
      <c r="I8" s="14"/>
      <c r="J8" s="66"/>
      <c r="K8" s="13"/>
      <c r="L8" s="13"/>
      <c r="M8" s="165" t="s">
        <v>44</v>
      </c>
      <c r="N8" s="161"/>
      <c r="O8" s="166"/>
      <c r="P8" s="161"/>
      <c r="Q8" s="161"/>
      <c r="R8" s="186">
        <v>4.1666666666666664E-2</v>
      </c>
      <c r="S8" s="13"/>
      <c r="T8" s="13"/>
      <c r="U8" s="13"/>
      <c r="V8" s="13"/>
    </row>
    <row r="9" spans="1:37" ht="14.25" thickBot="1">
      <c r="S9" s="15"/>
    </row>
    <row r="10" spans="1:37" s="29" customFormat="1" ht="63.75" customHeight="1" thickTop="1">
      <c r="A10" s="39" t="s">
        <v>0</v>
      </c>
      <c r="B10" s="40" t="s">
        <v>1</v>
      </c>
      <c r="C10" s="106" t="s">
        <v>18</v>
      </c>
      <c r="D10" s="107" t="s">
        <v>11</v>
      </c>
      <c r="E10" s="107" t="s">
        <v>19</v>
      </c>
      <c r="F10" s="107" t="s">
        <v>20</v>
      </c>
      <c r="G10" s="107" t="s">
        <v>21</v>
      </c>
      <c r="H10" s="107" t="s">
        <v>22</v>
      </c>
      <c r="I10" s="107" t="s">
        <v>23</v>
      </c>
      <c r="J10" s="41" t="s">
        <v>24</v>
      </c>
      <c r="K10" s="41" t="s">
        <v>25</v>
      </c>
      <c r="L10" s="41" t="s">
        <v>26</v>
      </c>
      <c r="M10" s="41" t="s">
        <v>27</v>
      </c>
      <c r="N10" s="41" t="s">
        <v>28</v>
      </c>
      <c r="O10" s="41" t="s">
        <v>29</v>
      </c>
      <c r="P10" s="41" t="s">
        <v>30</v>
      </c>
      <c r="Q10" s="106" t="s">
        <v>106</v>
      </c>
      <c r="R10" s="108" t="s">
        <v>32</v>
      </c>
      <c r="S10" s="27" t="s">
        <v>7</v>
      </c>
      <c r="T10" s="28"/>
      <c r="U10" s="28"/>
      <c r="V10" s="28"/>
      <c r="X10" s="138">
        <f ca="1">TODAY()</f>
        <v>42072</v>
      </c>
      <c r="Y10" s="30"/>
      <c r="Z10" s="30"/>
      <c r="AA10" s="138"/>
      <c r="AB10" s="30"/>
      <c r="AC10" s="30"/>
      <c r="AD10" s="30"/>
      <c r="AE10" s="30"/>
      <c r="AF10" s="30"/>
      <c r="AG10" s="30"/>
      <c r="AH10" s="30"/>
      <c r="AI10" s="30"/>
      <c r="AJ10" s="30"/>
      <c r="AK10" s="30"/>
    </row>
    <row r="11" spans="1:37" s="26" customFormat="1" ht="12">
      <c r="A11" s="172">
        <f>DATE(F7,E7,D7)</f>
        <v>42064</v>
      </c>
      <c r="B11" s="259" t="str">
        <f t="shared" ref="B11:B19" si="0">TEXT(A11,"aaa")</f>
        <v>日</v>
      </c>
      <c r="C11" s="174"/>
      <c r="D11" s="175">
        <v>0.3756944444444445</v>
      </c>
      <c r="E11" s="175"/>
      <c r="F11" s="175"/>
      <c r="G11" s="175"/>
      <c r="H11" s="175"/>
      <c r="I11" s="175"/>
      <c r="J11" s="176" t="str">
        <f t="shared" ref="J11:J19" si="1">IF(COUNT(D11,E11)=2,IF(E11&gt;D11,IF(E11&gt;D11+F11,E11-D11-F11,""),(TIME(23,0,0)+TIME(1,0,0)+E11-D11-F11)),"")</f>
        <v/>
      </c>
      <c r="K11" s="176" t="str">
        <f t="shared" ref="K11:K19" si="2">IF(COUNT(J11)=1,J11+G11,IF(COUNT(G11)=1,G11,""))</f>
        <v/>
      </c>
      <c r="L11" s="176" t="str">
        <f>IF(AND(S11=TRUE,COUNT(K11)=1), IF( $R$7&gt;K11+H11+I11, CEILING($R$7-K11-H11-I11,"0:15"), ""), IF( AND(S11=TRUE,COUNT(K11)&lt;1),  IF( $R$7&gt;H11+I11,CEILING($R$7-H11-I11,"0:15"), ""), "") )</f>
        <v/>
      </c>
      <c r="M11" s="176" t="str">
        <f t="shared" ref="M11:M19" si="3">IF(AND(S11=TRUE,COUNT(K11)=1),IF(K11+H11+I11&gt;$R$7,IF(FLOOR(K11+H11+I11-$R$7+TIME(0,0,1),"0:15")&gt;TIME(13,30,0),ERROR.TYPE(""), IF(FLOOR(K11+H11+I11-$R$7+TIME(0,0,1),"0:15")&gt;0,FLOOR(K11+H11+I11-$R$7+TIME(0,0,1),"0:15"),"")      ),""),"")</f>
        <v/>
      </c>
      <c r="N11" s="176" t="str">
        <f t="shared" ref="N11:N41" si="4">IF(AND(S11=TRUE,COUNT(D11,E11)=2),IF(E11&gt;TIME(23,0,0),FLOOR(E11-TIME(23,0,0)+TIME(0,0,1),"0:15"),IF(E11&lt;D11,MIN(FLOOR(E11+TIME(0,0,1),"0:15")+TIME(1,0,0),TIME(7,0,0)),"")),"")</f>
        <v/>
      </c>
      <c r="O11" s="176" t="str">
        <f t="shared" ref="O11:O19" si="5">IF(AND(OR(B11="土",B11="Sat",C11="*"),(COUNT(J11)=1)),IF(Q11="",J11,IF(J11&gt;Q11,J11-Q11,IF(J11=Q11,"",ERROR.TYPE("")))),"")</f>
        <v/>
      </c>
      <c r="P11" s="176" t="str">
        <f t="shared" ref="P11:P19" si="6">IF(AND(OR(B11="日",B11="Sun"),COUNT(J11)=1),IF(Q11="",J11,IF(J11&gt;Q11,J11-Q11,IF(J11=Q11,"",ERROR.TYPE("")))),"")</f>
        <v/>
      </c>
      <c r="Q11" s="175"/>
      <c r="R11" s="177"/>
      <c r="S11" s="25" t="b">
        <f>NOT(OR(A11="",B11="土",B11="日",B11="Sat",B11="Sun",C11="*"))</f>
        <v>0</v>
      </c>
      <c r="T11" s="55"/>
      <c r="U11" s="54"/>
      <c r="V11" s="42" t="s">
        <v>8</v>
      </c>
      <c r="W11" s="26" t="str">
        <f>IF(OR(H11&lt;&gt;"",M11&lt;&gt;"",N11&lt;&gt;"",O11&lt;&gt;"",P11&lt;&gt;"",Q11&lt;&gt;""),"OT","")</f>
        <v/>
      </c>
      <c r="X11" s="26" t="str">
        <f>IF(AND(OR(H11&lt;&gt;"",I11&lt;&gt;"",K11="",K11&lt;$R$7),S11=TRUE),TRUE,"")</f>
        <v/>
      </c>
      <c r="AA11" s="137"/>
    </row>
    <row r="12" spans="1:37" s="147" customFormat="1" ht="12">
      <c r="A12" s="187">
        <f t="shared" ref="A12:A41" si="7">IF(A11&lt;DATE($U$7,$T$7,$S$7),A11+1,"")</f>
        <v>42065</v>
      </c>
      <c r="B12" s="257" t="str">
        <f>TEXT(A12,"aaa")</f>
        <v>月</v>
      </c>
      <c r="C12" s="189"/>
      <c r="D12" s="190"/>
      <c r="E12" s="190"/>
      <c r="F12" s="190"/>
      <c r="G12" s="250"/>
      <c r="H12" s="250"/>
      <c r="I12" s="250"/>
      <c r="J12" s="191" t="str">
        <f>IF(COUNT(D12,E12)=2,IF(E12&gt;D12,IF(E12&gt;D12+F12,E12-D12-F12,""),(TIME(23,0,0)+TIME(1,0,0)+E12-D12-F12)),"")</f>
        <v/>
      </c>
      <c r="K12" s="191" t="str">
        <f>IF(COUNT(J12)=1,J12+G12,IF(COUNT(G12)=1,G12,""))</f>
        <v/>
      </c>
      <c r="L12" s="191">
        <f t="shared" ref="L12:L26" si="8">IF(AND(S12=TRUE,COUNT(K12)=1), IF( $R$7&gt;K12+H12+I12, $R$7-K12-H12-I12, ""), IF( AND(S12=TRUE,COUNT(K12)&lt;1),  IF( $R$7&gt;H12+I12,$R$7-H12-I12, ""), "") )</f>
        <v>0.33333333333333331</v>
      </c>
      <c r="M12" s="191" t="str">
        <f>IF(AND(S12=TRUE,COUNT(K12)=1),IF(K12+H12+I12&gt;$R$7,IF(FLOOR(K12+H12+I12-$R$7+TIME(0,0,1),"0:15")&gt;TIME(13,30,0),ERROR.TYPE(""), IF(FLOOR(K12+H12+I12-$R$7+TIME(0,0,1),"0:15")&gt;0,FLOOR(K12+H12+I12-$R$7+TIME(0,0,1),"0:15"),"")      ),""),"")</f>
        <v/>
      </c>
      <c r="N12" s="191" t="str">
        <f>IF(AND(S12=TRUE,COUNT(D12,E12)=2),IF(E12&gt;TIME(23,0,0),FLOOR(E12-TIME(23,0,0)+TIME(0,0,1),"0:15"),IF(E12&lt;D12,MIN(FLOOR(E12+TIME(0,0,1),"0:15")+TIME(1,0,0),TIME(7,0,0)),"")),"")</f>
        <v/>
      </c>
      <c r="O12" s="191" t="str">
        <f>IF(AND(OR(B12="土",B12="Sat",C12="*"),(COUNT(J12)=1)),IF(Q12="",J12,IF(J12&gt;Q12,J12-Q12,IF(J12=Q12,"",ERROR.TYPE("")))),"")</f>
        <v/>
      </c>
      <c r="P12" s="191" t="str">
        <f>IF(AND(OR(B12="日",B12="Sun"),COUNT(J12)=1),IF(Q12="",J12,IF(J12&gt;Q12,J12-Q12,IF(J12=Q12,"",ERROR.TYPE("")))),"")</f>
        <v/>
      </c>
      <c r="Q12" s="190"/>
      <c r="R12" s="192"/>
      <c r="S12" s="144" t="b">
        <f>NOT(OR(A12="",B12="土",B12="日",B12="Sat",B12="Sun",C12="*"))</f>
        <v>1</v>
      </c>
      <c r="T12" s="145"/>
      <c r="U12" s="146"/>
      <c r="V12" s="144"/>
      <c r="W12" s="147" t="str">
        <f>IF(OR(H12&lt;&gt;"",M12&lt;&gt;"",N12&lt;&gt;"",O12&lt;&gt;"",P12&lt;&gt;"",Q12&lt;&gt;""),"OT","")</f>
        <v/>
      </c>
      <c r="X12" s="26" t="b">
        <f t="shared" ref="X12:X41" si="9">IF(AND(OR(H12&lt;&gt;"",I12&lt;&gt;"",K12="",K12&lt;$R$7),S12=TRUE),TRUE,"")</f>
        <v>1</v>
      </c>
      <c r="AA12" s="148"/>
    </row>
    <row r="13" spans="1:37" s="26" customFormat="1" ht="12">
      <c r="A13" s="187">
        <f t="shared" si="7"/>
        <v>42066</v>
      </c>
      <c r="B13" s="257" t="str">
        <f t="shared" si="0"/>
        <v>火</v>
      </c>
      <c r="C13" s="189"/>
      <c r="D13" s="190"/>
      <c r="E13" s="190"/>
      <c r="F13" s="190"/>
      <c r="G13" s="250"/>
      <c r="H13" s="250"/>
      <c r="I13" s="250"/>
      <c r="J13" s="191" t="str">
        <f t="shared" si="1"/>
        <v/>
      </c>
      <c r="K13" s="191" t="str">
        <f t="shared" si="2"/>
        <v/>
      </c>
      <c r="L13" s="191">
        <f t="shared" si="8"/>
        <v>0.33333333333333331</v>
      </c>
      <c r="M13" s="191" t="str">
        <f t="shared" si="3"/>
        <v/>
      </c>
      <c r="N13" s="191" t="str">
        <f t="shared" si="4"/>
        <v/>
      </c>
      <c r="O13" s="191" t="str">
        <f t="shared" si="5"/>
        <v/>
      </c>
      <c r="P13" s="191" t="str">
        <f t="shared" si="6"/>
        <v/>
      </c>
      <c r="Q13" s="190"/>
      <c r="R13" s="192"/>
      <c r="S13" s="25" t="b">
        <f>NOT(OR(A13="",B13="土",B13="日",B13="Sat",B13="Sun",C13="*"))</f>
        <v>1</v>
      </c>
      <c r="T13" s="55"/>
      <c r="U13" s="54"/>
      <c r="V13" s="25"/>
      <c r="W13" s="26" t="str">
        <f>IF(OR(H13&lt;&gt;"",M13&lt;&gt;"",N13&lt;&gt;"",O13&lt;&gt;"",P13&lt;&gt;"",Q13&lt;&gt;""),"OT","")</f>
        <v/>
      </c>
      <c r="X13" s="26" t="b">
        <f t="shared" si="9"/>
        <v>1</v>
      </c>
      <c r="AA13" s="137"/>
    </row>
    <row r="14" spans="1:37" s="26" customFormat="1" ht="12">
      <c r="A14" s="187">
        <f t="shared" si="7"/>
        <v>42067</v>
      </c>
      <c r="B14" s="257" t="str">
        <f t="shared" si="0"/>
        <v>水</v>
      </c>
      <c r="C14" s="189"/>
      <c r="D14" s="190"/>
      <c r="E14" s="190"/>
      <c r="F14" s="190"/>
      <c r="G14" s="250"/>
      <c r="H14" s="250"/>
      <c r="I14" s="250"/>
      <c r="J14" s="191" t="str">
        <f t="shared" si="1"/>
        <v/>
      </c>
      <c r="K14" s="191" t="str">
        <f t="shared" si="2"/>
        <v/>
      </c>
      <c r="L14" s="191">
        <f t="shared" si="8"/>
        <v>0.33333333333333331</v>
      </c>
      <c r="M14" s="191" t="str">
        <f t="shared" si="3"/>
        <v/>
      </c>
      <c r="N14" s="191" t="str">
        <f t="shared" si="4"/>
        <v/>
      </c>
      <c r="O14" s="191" t="str">
        <f t="shared" si="5"/>
        <v/>
      </c>
      <c r="P14" s="191" t="str">
        <f t="shared" si="6"/>
        <v/>
      </c>
      <c r="Q14" s="190"/>
      <c r="R14" s="192"/>
      <c r="S14" s="25" t="b">
        <f>NOT(OR(A14="",B14="土",B14="日",B14="Sat",B14="Sun",C14="*"))</f>
        <v>1</v>
      </c>
      <c r="T14" s="55"/>
      <c r="U14" s="54"/>
      <c r="V14" s="25"/>
      <c r="W14" s="26" t="str">
        <f>IF(OR(H14&lt;&gt;"",M14&lt;&gt;"",N14&lt;&gt;"",O14&lt;&gt;"",P14&lt;&gt;"",Q14&lt;&gt;""),"OT","")</f>
        <v/>
      </c>
      <c r="X14" s="26" t="b">
        <f t="shared" si="9"/>
        <v>1</v>
      </c>
      <c r="AA14" s="137"/>
    </row>
    <row r="15" spans="1:37" s="26" customFormat="1" ht="12">
      <c r="A15" s="187">
        <f t="shared" si="7"/>
        <v>42068</v>
      </c>
      <c r="B15" s="257" t="str">
        <f t="shared" si="0"/>
        <v>木</v>
      </c>
      <c r="C15" s="189"/>
      <c r="D15" s="190"/>
      <c r="E15" s="190"/>
      <c r="F15" s="190"/>
      <c r="G15" s="250"/>
      <c r="H15" s="250"/>
      <c r="I15" s="250"/>
      <c r="J15" s="191" t="str">
        <f t="shared" si="1"/>
        <v/>
      </c>
      <c r="K15" s="191" t="str">
        <f t="shared" si="2"/>
        <v/>
      </c>
      <c r="L15" s="191">
        <f t="shared" si="8"/>
        <v>0.33333333333333331</v>
      </c>
      <c r="M15" s="191" t="str">
        <f t="shared" si="3"/>
        <v/>
      </c>
      <c r="N15" s="191" t="str">
        <f t="shared" si="4"/>
        <v/>
      </c>
      <c r="O15" s="191" t="str">
        <f t="shared" si="5"/>
        <v/>
      </c>
      <c r="P15" s="191" t="str">
        <f t="shared" si="6"/>
        <v/>
      </c>
      <c r="Q15" s="190"/>
      <c r="R15" s="192"/>
      <c r="S15" s="25" t="b">
        <f>NOT(OR(A15="",B15="土",B15="日",B15="Sat",B15="Sun",C15="*"))</f>
        <v>1</v>
      </c>
      <c r="T15" s="55"/>
      <c r="U15" s="54"/>
      <c r="V15" s="25"/>
      <c r="W15" s="26" t="str">
        <f>IF(OR(H15&lt;&gt;"",M15&lt;&gt;"",N15&lt;&gt;"",O15&lt;&gt;"",P15&lt;&gt;"",Q15&lt;&gt;""),"OT","")</f>
        <v/>
      </c>
      <c r="X15" s="26" t="b">
        <f t="shared" si="9"/>
        <v>1</v>
      </c>
      <c r="AA15" s="137"/>
    </row>
    <row r="16" spans="1:37" s="26" customFormat="1" ht="12">
      <c r="A16" s="187">
        <f t="shared" si="7"/>
        <v>42069</v>
      </c>
      <c r="B16" s="258" t="str">
        <f t="shared" si="0"/>
        <v>金</v>
      </c>
      <c r="C16" s="189"/>
      <c r="D16" s="190"/>
      <c r="E16" s="190"/>
      <c r="F16" s="190"/>
      <c r="G16" s="250"/>
      <c r="H16" s="250"/>
      <c r="I16" s="250"/>
      <c r="J16" s="191" t="str">
        <f t="shared" si="1"/>
        <v/>
      </c>
      <c r="K16" s="191" t="str">
        <f t="shared" si="2"/>
        <v/>
      </c>
      <c r="L16" s="191">
        <f t="shared" si="8"/>
        <v>0.33333333333333331</v>
      </c>
      <c r="M16" s="191" t="str">
        <f t="shared" si="3"/>
        <v/>
      </c>
      <c r="N16" s="191" t="str">
        <f t="shared" si="4"/>
        <v/>
      </c>
      <c r="O16" s="191" t="str">
        <f t="shared" si="5"/>
        <v/>
      </c>
      <c r="P16" s="191" t="str">
        <f t="shared" si="6"/>
        <v/>
      </c>
      <c r="Q16" s="190"/>
      <c r="R16" s="192"/>
      <c r="S16" s="25" t="b">
        <f t="shared" ref="S16:S41" si="10">NOT(OR(A16="",B16="土",B16="日",B16="Sat",B16="Sun",C16="*"))</f>
        <v>1</v>
      </c>
      <c r="T16" s="55"/>
      <c r="U16" s="54"/>
      <c r="V16" s="25"/>
      <c r="W16" s="26" t="str">
        <f t="shared" ref="W16:W41" si="11">IF(OR(H16&lt;&gt;"",M16&lt;&gt;"",N16&lt;&gt;"",O16&lt;&gt;"",P16&lt;&gt;"",Q16&lt;&gt;""),"OT","")</f>
        <v/>
      </c>
      <c r="X16" s="26" t="b">
        <f t="shared" si="9"/>
        <v>1</v>
      </c>
      <c r="AA16" s="137"/>
    </row>
    <row r="17" spans="1:27" s="26" customFormat="1" ht="12">
      <c r="A17" s="178">
        <f t="shared" si="7"/>
        <v>42070</v>
      </c>
      <c r="B17" s="264" t="str">
        <f t="shared" si="0"/>
        <v>土</v>
      </c>
      <c r="C17" s="180"/>
      <c r="D17" s="181"/>
      <c r="E17" s="181"/>
      <c r="F17" s="181"/>
      <c r="G17" s="252"/>
      <c r="H17" s="252"/>
      <c r="I17" s="252"/>
      <c r="J17" s="182" t="str">
        <f t="shared" si="1"/>
        <v/>
      </c>
      <c r="K17" s="182" t="str">
        <f t="shared" si="2"/>
        <v/>
      </c>
      <c r="L17" s="182" t="str">
        <f t="shared" si="8"/>
        <v/>
      </c>
      <c r="M17" s="182" t="str">
        <f t="shared" si="3"/>
        <v/>
      </c>
      <c r="N17" s="182" t="str">
        <f t="shared" si="4"/>
        <v/>
      </c>
      <c r="O17" s="182" t="str">
        <f t="shared" si="5"/>
        <v/>
      </c>
      <c r="P17" s="182" t="str">
        <f t="shared" si="6"/>
        <v/>
      </c>
      <c r="Q17" s="181"/>
      <c r="R17" s="183"/>
      <c r="S17" s="25" t="b">
        <f t="shared" si="10"/>
        <v>0</v>
      </c>
      <c r="T17" s="55"/>
      <c r="U17" s="54"/>
      <c r="V17" s="25"/>
      <c r="W17" s="26" t="str">
        <f t="shared" si="11"/>
        <v/>
      </c>
      <c r="X17" s="26" t="str">
        <f t="shared" si="9"/>
        <v/>
      </c>
      <c r="AA17" s="137"/>
    </row>
    <row r="18" spans="1:27" s="26" customFormat="1" ht="12">
      <c r="A18" s="172">
        <f t="shared" si="7"/>
        <v>42071</v>
      </c>
      <c r="B18" s="259" t="str">
        <f t="shared" si="0"/>
        <v>日</v>
      </c>
      <c r="C18" s="174"/>
      <c r="D18" s="175"/>
      <c r="E18" s="175"/>
      <c r="F18" s="175"/>
      <c r="G18" s="254"/>
      <c r="H18" s="254"/>
      <c r="I18" s="254"/>
      <c r="J18" s="176" t="str">
        <f t="shared" si="1"/>
        <v/>
      </c>
      <c r="K18" s="176" t="str">
        <f t="shared" si="2"/>
        <v/>
      </c>
      <c r="L18" s="176" t="str">
        <f t="shared" si="8"/>
        <v/>
      </c>
      <c r="M18" s="176" t="str">
        <f t="shared" si="3"/>
        <v/>
      </c>
      <c r="N18" s="176" t="str">
        <f t="shared" si="4"/>
        <v/>
      </c>
      <c r="O18" s="176" t="str">
        <f t="shared" si="5"/>
        <v/>
      </c>
      <c r="P18" s="176" t="str">
        <f t="shared" si="6"/>
        <v/>
      </c>
      <c r="Q18" s="175"/>
      <c r="R18" s="177"/>
      <c r="S18" s="25" t="b">
        <f t="shared" si="10"/>
        <v>0</v>
      </c>
      <c r="T18" s="55"/>
      <c r="U18" s="54"/>
      <c r="V18" s="25"/>
      <c r="W18" s="26" t="str">
        <f t="shared" si="11"/>
        <v/>
      </c>
      <c r="X18" s="26" t="str">
        <f t="shared" si="9"/>
        <v/>
      </c>
      <c r="AA18" s="137"/>
    </row>
    <row r="19" spans="1:27" s="147" customFormat="1" ht="12">
      <c r="A19" s="187">
        <f t="shared" si="7"/>
        <v>42072</v>
      </c>
      <c r="B19" s="257" t="str">
        <f t="shared" si="0"/>
        <v>月</v>
      </c>
      <c r="C19" s="189"/>
      <c r="D19" s="190"/>
      <c r="E19" s="190"/>
      <c r="F19" s="190"/>
      <c r="G19" s="250"/>
      <c r="H19" s="250"/>
      <c r="I19" s="250"/>
      <c r="J19" s="191" t="str">
        <f t="shared" si="1"/>
        <v/>
      </c>
      <c r="K19" s="191" t="str">
        <f t="shared" si="2"/>
        <v/>
      </c>
      <c r="L19" s="191">
        <f t="shared" si="8"/>
        <v>0.33333333333333331</v>
      </c>
      <c r="M19" s="191" t="str">
        <f t="shared" si="3"/>
        <v/>
      </c>
      <c r="N19" s="191" t="str">
        <f t="shared" si="4"/>
        <v/>
      </c>
      <c r="O19" s="191" t="str">
        <f t="shared" si="5"/>
        <v/>
      </c>
      <c r="P19" s="191" t="str">
        <f t="shared" si="6"/>
        <v/>
      </c>
      <c r="Q19" s="190"/>
      <c r="R19" s="192"/>
      <c r="S19" s="144" t="b">
        <f t="shared" si="10"/>
        <v>1</v>
      </c>
      <c r="T19" s="145"/>
      <c r="U19" s="146"/>
      <c r="V19" s="144"/>
      <c r="W19" s="147" t="str">
        <f t="shared" si="11"/>
        <v/>
      </c>
      <c r="X19" s="26" t="b">
        <f t="shared" si="9"/>
        <v>1</v>
      </c>
      <c r="AA19" s="148"/>
    </row>
    <row r="20" spans="1:27" s="170" customFormat="1" ht="12">
      <c r="A20" s="187">
        <f t="shared" si="7"/>
        <v>42073</v>
      </c>
      <c r="B20" s="257" t="str">
        <f t="shared" ref="B20:B41" si="12">TEXT(A20,"aaa")</f>
        <v>火</v>
      </c>
      <c r="C20" s="189"/>
      <c r="D20" s="190"/>
      <c r="E20" s="190"/>
      <c r="F20" s="190"/>
      <c r="G20" s="250"/>
      <c r="H20" s="250"/>
      <c r="I20" s="250"/>
      <c r="J20" s="191" t="str">
        <f t="shared" ref="J20:J41" si="13">IF(COUNT(D20,E20)=2,IF(E20&gt;D20,IF(E20&gt;D20+F20,E20-D20-F20,""),(TIME(23,0,0)+TIME(1,0,0)+E20-D20-F20)),"")</f>
        <v/>
      </c>
      <c r="K20" s="191" t="str">
        <f t="shared" ref="K20:K41" si="14">IF(COUNT(J20)=1,J20+G20,IF(COUNT(G20)=1,G20,""))</f>
        <v/>
      </c>
      <c r="L20" s="191">
        <f t="shared" si="8"/>
        <v>0.33333333333333331</v>
      </c>
      <c r="M20" s="191" t="str">
        <f t="shared" ref="M20:M41" si="15">IF(AND(S20=TRUE,COUNT(K20)=1),IF(K20+H20+I20&gt;$R$7,IF(FLOOR(K20+H20+I20-$R$7+TIME(0,0,1),"0:15")&gt;TIME(13,30,0),ERROR.TYPE(""), IF(FLOOR(K20+H20+I20-$R$7+TIME(0,0,1),"0:15")&gt;0,FLOOR(K20+H20+I20-$R$7+TIME(0,0,1),"0:15"),"")      ),""),"")</f>
        <v/>
      </c>
      <c r="N20" s="191" t="str">
        <f t="shared" si="4"/>
        <v/>
      </c>
      <c r="O20" s="191" t="str">
        <f t="shared" ref="O20:O41" si="16">IF(AND(OR(B20="土",B20="Sat",C20="*"),(COUNT(J20)=1)),IF(Q20="",J20,IF(J20&gt;Q20,J20-Q20,IF(J20=Q20,"",ERROR.TYPE("")))),"")</f>
        <v/>
      </c>
      <c r="P20" s="191" t="str">
        <f t="shared" ref="P20:P41" si="17">IF(AND(OR(B20="日",B20="Sun"),COUNT(J20)=1),IF(Q20="",J20,IF(J20&gt;Q20,J20-Q20,IF(J20=Q20,"",ERROR.TYPE("")))),"")</f>
        <v/>
      </c>
      <c r="Q20" s="190"/>
      <c r="R20" s="251"/>
      <c r="S20" s="167" t="b">
        <f t="shared" si="10"/>
        <v>1</v>
      </c>
      <c r="T20" s="168"/>
      <c r="U20" s="169"/>
      <c r="V20" s="167"/>
      <c r="W20" s="170" t="str">
        <f t="shared" si="11"/>
        <v/>
      </c>
      <c r="X20" s="26" t="b">
        <f t="shared" si="9"/>
        <v>1</v>
      </c>
      <c r="AA20" s="171"/>
    </row>
    <row r="21" spans="1:27" s="26" customFormat="1" ht="12">
      <c r="A21" s="187">
        <f t="shared" si="7"/>
        <v>42074</v>
      </c>
      <c r="B21" s="257" t="str">
        <f t="shared" si="12"/>
        <v>水</v>
      </c>
      <c r="C21" s="189"/>
      <c r="D21" s="190"/>
      <c r="E21" s="190"/>
      <c r="F21" s="190"/>
      <c r="G21" s="250"/>
      <c r="H21" s="250"/>
      <c r="I21" s="250"/>
      <c r="J21" s="191" t="str">
        <f t="shared" si="13"/>
        <v/>
      </c>
      <c r="K21" s="191" t="str">
        <f t="shared" si="14"/>
        <v/>
      </c>
      <c r="L21" s="191">
        <f t="shared" si="8"/>
        <v>0.33333333333333331</v>
      </c>
      <c r="M21" s="191" t="str">
        <f t="shared" si="15"/>
        <v/>
      </c>
      <c r="N21" s="191" t="str">
        <f t="shared" si="4"/>
        <v/>
      </c>
      <c r="O21" s="191" t="str">
        <f t="shared" si="16"/>
        <v/>
      </c>
      <c r="P21" s="191" t="str">
        <f t="shared" si="17"/>
        <v/>
      </c>
      <c r="Q21" s="190"/>
      <c r="R21" s="192"/>
      <c r="S21" s="25" t="b">
        <f t="shared" si="10"/>
        <v>1</v>
      </c>
      <c r="T21" s="55"/>
      <c r="U21" s="54"/>
      <c r="V21" s="25"/>
      <c r="W21" s="26" t="str">
        <f t="shared" si="11"/>
        <v/>
      </c>
      <c r="X21" s="26" t="b">
        <f t="shared" si="9"/>
        <v>1</v>
      </c>
      <c r="AA21" s="137"/>
    </row>
    <row r="22" spans="1:27" s="26" customFormat="1" ht="12">
      <c r="A22" s="187">
        <f t="shared" si="7"/>
        <v>42075</v>
      </c>
      <c r="B22" s="257" t="str">
        <f t="shared" si="12"/>
        <v>木</v>
      </c>
      <c r="C22" s="189"/>
      <c r="D22" s="190"/>
      <c r="E22" s="190"/>
      <c r="F22" s="190"/>
      <c r="G22" s="250"/>
      <c r="H22" s="250"/>
      <c r="I22" s="250"/>
      <c r="J22" s="191" t="str">
        <f t="shared" si="13"/>
        <v/>
      </c>
      <c r="K22" s="191" t="str">
        <f t="shared" si="14"/>
        <v/>
      </c>
      <c r="L22" s="191">
        <f t="shared" si="8"/>
        <v>0.33333333333333331</v>
      </c>
      <c r="M22" s="191" t="str">
        <f t="shared" si="15"/>
        <v/>
      </c>
      <c r="N22" s="191" t="str">
        <f t="shared" si="4"/>
        <v/>
      </c>
      <c r="O22" s="191" t="str">
        <f t="shared" si="16"/>
        <v/>
      </c>
      <c r="P22" s="191" t="str">
        <f t="shared" si="17"/>
        <v/>
      </c>
      <c r="Q22" s="190"/>
      <c r="R22" s="192"/>
      <c r="S22" s="25" t="b">
        <f t="shared" si="10"/>
        <v>1</v>
      </c>
      <c r="T22" s="55"/>
      <c r="U22" s="54"/>
      <c r="V22" s="25"/>
      <c r="W22" s="26" t="str">
        <f t="shared" si="11"/>
        <v/>
      </c>
      <c r="X22" s="26" t="b">
        <f t="shared" si="9"/>
        <v>1</v>
      </c>
      <c r="AA22" s="137"/>
    </row>
    <row r="23" spans="1:27" s="26" customFormat="1" ht="12">
      <c r="A23" s="187">
        <f t="shared" si="7"/>
        <v>42076</v>
      </c>
      <c r="B23" s="258" t="str">
        <f t="shared" si="12"/>
        <v>金</v>
      </c>
      <c r="C23" s="189"/>
      <c r="D23" s="190"/>
      <c r="E23" s="190"/>
      <c r="F23" s="190"/>
      <c r="G23" s="250"/>
      <c r="H23" s="250"/>
      <c r="I23" s="250"/>
      <c r="J23" s="191" t="str">
        <f t="shared" si="13"/>
        <v/>
      </c>
      <c r="K23" s="191" t="str">
        <f t="shared" si="14"/>
        <v/>
      </c>
      <c r="L23" s="191">
        <f t="shared" si="8"/>
        <v>0.33333333333333331</v>
      </c>
      <c r="M23" s="191" t="str">
        <f t="shared" si="15"/>
        <v/>
      </c>
      <c r="N23" s="191" t="str">
        <f t="shared" si="4"/>
        <v/>
      </c>
      <c r="O23" s="191" t="str">
        <f t="shared" si="16"/>
        <v/>
      </c>
      <c r="P23" s="191" t="str">
        <f t="shared" si="17"/>
        <v/>
      </c>
      <c r="Q23" s="190"/>
      <c r="R23" s="192"/>
      <c r="S23" s="25" t="b">
        <f t="shared" si="10"/>
        <v>1</v>
      </c>
      <c r="T23" s="55"/>
      <c r="U23" s="54"/>
      <c r="V23" s="25"/>
      <c r="W23" s="26" t="str">
        <f t="shared" si="11"/>
        <v/>
      </c>
      <c r="X23" s="26" t="b">
        <f t="shared" si="9"/>
        <v>1</v>
      </c>
      <c r="AA23" s="137"/>
    </row>
    <row r="24" spans="1:27" s="26" customFormat="1" ht="12">
      <c r="A24" s="178">
        <f t="shared" si="7"/>
        <v>42077</v>
      </c>
      <c r="B24" s="264" t="str">
        <f t="shared" si="12"/>
        <v>土</v>
      </c>
      <c r="C24" s="180"/>
      <c r="D24" s="181"/>
      <c r="E24" s="181"/>
      <c r="F24" s="181"/>
      <c r="G24" s="252"/>
      <c r="H24" s="252"/>
      <c r="I24" s="252"/>
      <c r="J24" s="182" t="str">
        <f t="shared" si="13"/>
        <v/>
      </c>
      <c r="K24" s="182" t="str">
        <f t="shared" si="14"/>
        <v/>
      </c>
      <c r="L24" s="182" t="str">
        <f t="shared" si="8"/>
        <v/>
      </c>
      <c r="M24" s="182" t="str">
        <f t="shared" si="15"/>
        <v/>
      </c>
      <c r="N24" s="182" t="str">
        <f t="shared" si="4"/>
        <v/>
      </c>
      <c r="O24" s="182" t="str">
        <f t="shared" si="16"/>
        <v/>
      </c>
      <c r="P24" s="182" t="str">
        <f t="shared" si="17"/>
        <v/>
      </c>
      <c r="Q24" s="181"/>
      <c r="R24" s="253"/>
      <c r="S24" s="25" t="b">
        <f t="shared" si="10"/>
        <v>0</v>
      </c>
      <c r="T24" s="55"/>
      <c r="U24" s="54"/>
      <c r="V24" s="25"/>
      <c r="W24" s="26" t="str">
        <f t="shared" si="11"/>
        <v/>
      </c>
      <c r="X24" s="26" t="str">
        <f t="shared" si="9"/>
        <v/>
      </c>
      <c r="AA24" s="137"/>
    </row>
    <row r="25" spans="1:27" s="26" customFormat="1" ht="12">
      <c r="A25" s="172">
        <f t="shared" si="7"/>
        <v>42078</v>
      </c>
      <c r="B25" s="259" t="str">
        <f t="shared" si="12"/>
        <v>日</v>
      </c>
      <c r="C25" s="174"/>
      <c r="D25" s="175"/>
      <c r="E25" s="175"/>
      <c r="F25" s="175"/>
      <c r="G25" s="254"/>
      <c r="H25" s="254"/>
      <c r="I25" s="254"/>
      <c r="J25" s="176" t="str">
        <f t="shared" si="13"/>
        <v/>
      </c>
      <c r="K25" s="176" t="str">
        <f t="shared" si="14"/>
        <v/>
      </c>
      <c r="L25" s="176" t="str">
        <f t="shared" si="8"/>
        <v/>
      </c>
      <c r="M25" s="176" t="str">
        <f t="shared" si="15"/>
        <v/>
      </c>
      <c r="N25" s="176" t="str">
        <f t="shared" si="4"/>
        <v/>
      </c>
      <c r="O25" s="176" t="str">
        <f t="shared" si="16"/>
        <v/>
      </c>
      <c r="P25" s="176" t="str">
        <f t="shared" si="17"/>
        <v/>
      </c>
      <c r="Q25" s="175"/>
      <c r="R25" s="255"/>
      <c r="S25" s="25" t="b">
        <f t="shared" si="10"/>
        <v>0</v>
      </c>
      <c r="T25" s="55"/>
      <c r="U25" s="54"/>
      <c r="V25" s="25"/>
      <c r="W25" s="26" t="str">
        <f t="shared" si="11"/>
        <v/>
      </c>
      <c r="X25" s="26" t="str">
        <f t="shared" si="9"/>
        <v/>
      </c>
      <c r="AA25" s="137"/>
    </row>
    <row r="26" spans="1:27" s="26" customFormat="1" ht="12">
      <c r="A26" s="187">
        <f t="shared" si="7"/>
        <v>42079</v>
      </c>
      <c r="B26" s="257" t="str">
        <f t="shared" si="12"/>
        <v>月</v>
      </c>
      <c r="C26" s="189"/>
      <c r="D26" s="190"/>
      <c r="E26" s="190"/>
      <c r="F26" s="190"/>
      <c r="G26" s="250"/>
      <c r="H26" s="250"/>
      <c r="I26" s="250"/>
      <c r="J26" s="191" t="str">
        <f t="shared" si="13"/>
        <v/>
      </c>
      <c r="K26" s="191" t="str">
        <f t="shared" si="14"/>
        <v/>
      </c>
      <c r="L26" s="191">
        <f t="shared" si="8"/>
        <v>0.33333333333333331</v>
      </c>
      <c r="M26" s="191" t="str">
        <f t="shared" si="15"/>
        <v/>
      </c>
      <c r="N26" s="191" t="str">
        <f t="shared" si="4"/>
        <v/>
      </c>
      <c r="O26" s="191" t="str">
        <f t="shared" si="16"/>
        <v/>
      </c>
      <c r="P26" s="191" t="str">
        <f t="shared" si="17"/>
        <v/>
      </c>
      <c r="Q26" s="190"/>
      <c r="R26" s="251"/>
      <c r="S26" s="25" t="b">
        <f t="shared" si="10"/>
        <v>1</v>
      </c>
      <c r="T26" s="55"/>
      <c r="U26" s="54"/>
      <c r="V26" s="25"/>
      <c r="W26" s="26" t="str">
        <f t="shared" si="11"/>
        <v/>
      </c>
      <c r="X26" s="26" t="b">
        <f t="shared" si="9"/>
        <v>1</v>
      </c>
      <c r="AA26" s="137"/>
    </row>
    <row r="27" spans="1:27" s="26" customFormat="1" ht="12">
      <c r="A27" s="187">
        <f t="shared" si="7"/>
        <v>42080</v>
      </c>
      <c r="B27" s="257" t="str">
        <f t="shared" si="12"/>
        <v>火</v>
      </c>
      <c r="C27" s="189"/>
      <c r="D27" s="190"/>
      <c r="E27" s="190"/>
      <c r="F27" s="190"/>
      <c r="G27" s="250"/>
      <c r="H27" s="250"/>
      <c r="I27" s="250"/>
      <c r="J27" s="191" t="str">
        <f t="shared" si="13"/>
        <v/>
      </c>
      <c r="K27" s="191" t="str">
        <f t="shared" si="14"/>
        <v/>
      </c>
      <c r="L27" s="191">
        <f t="shared" ref="L27:L41" si="18">IF(AND(S27=TRUE,COUNT(K27)=1), IF( $R$7&gt;K27+H27+I27, $R$7-K27-H27-I27, ""), IF( AND(S27=TRUE,COUNT(K27)&lt;1),  IF( $R$7&gt;H27+I27,$R$7-H27-I27, ""), "") )</f>
        <v>0.33333333333333331</v>
      </c>
      <c r="M27" s="191" t="str">
        <f t="shared" si="15"/>
        <v/>
      </c>
      <c r="N27" s="191" t="str">
        <f t="shared" si="4"/>
        <v/>
      </c>
      <c r="O27" s="191" t="str">
        <f t="shared" si="16"/>
        <v/>
      </c>
      <c r="P27" s="191" t="str">
        <f t="shared" si="17"/>
        <v/>
      </c>
      <c r="Q27" s="190"/>
      <c r="R27" s="251"/>
      <c r="S27" s="25" t="b">
        <f t="shared" si="10"/>
        <v>1</v>
      </c>
      <c r="T27" s="55"/>
      <c r="U27" s="54"/>
      <c r="V27" s="25"/>
      <c r="W27" s="26" t="str">
        <f t="shared" si="11"/>
        <v/>
      </c>
      <c r="X27" s="26" t="b">
        <f t="shared" si="9"/>
        <v>1</v>
      </c>
      <c r="AA27" s="137"/>
    </row>
    <row r="28" spans="1:27" s="26" customFormat="1" ht="12">
      <c r="A28" s="187">
        <f t="shared" si="7"/>
        <v>42081</v>
      </c>
      <c r="B28" s="257" t="str">
        <f t="shared" si="12"/>
        <v>水</v>
      </c>
      <c r="C28" s="189"/>
      <c r="D28" s="190"/>
      <c r="E28" s="190"/>
      <c r="F28" s="190"/>
      <c r="G28" s="250"/>
      <c r="H28" s="250"/>
      <c r="I28" s="250"/>
      <c r="J28" s="191" t="str">
        <f t="shared" si="13"/>
        <v/>
      </c>
      <c r="K28" s="191" t="str">
        <f t="shared" si="14"/>
        <v/>
      </c>
      <c r="L28" s="191">
        <f t="shared" si="18"/>
        <v>0.33333333333333331</v>
      </c>
      <c r="M28" s="191" t="str">
        <f t="shared" si="15"/>
        <v/>
      </c>
      <c r="N28" s="191" t="str">
        <f t="shared" si="4"/>
        <v/>
      </c>
      <c r="O28" s="191" t="str">
        <f t="shared" si="16"/>
        <v/>
      </c>
      <c r="P28" s="191" t="str">
        <f t="shared" si="17"/>
        <v/>
      </c>
      <c r="Q28" s="190"/>
      <c r="R28" s="251"/>
      <c r="S28" s="25" t="b">
        <f t="shared" si="10"/>
        <v>1</v>
      </c>
      <c r="T28" s="55"/>
      <c r="U28" s="54"/>
      <c r="V28" s="25"/>
      <c r="W28" s="26" t="str">
        <f t="shared" si="11"/>
        <v/>
      </c>
      <c r="X28" s="26" t="b">
        <f t="shared" si="9"/>
        <v>1</v>
      </c>
      <c r="AA28" s="137"/>
    </row>
    <row r="29" spans="1:27" s="26" customFormat="1" ht="12">
      <c r="A29" s="187">
        <f t="shared" si="7"/>
        <v>42082</v>
      </c>
      <c r="B29" s="257" t="str">
        <f t="shared" si="12"/>
        <v>木</v>
      </c>
      <c r="C29" s="189"/>
      <c r="D29" s="190"/>
      <c r="E29" s="190"/>
      <c r="F29" s="190"/>
      <c r="G29" s="250"/>
      <c r="H29" s="250"/>
      <c r="I29" s="250"/>
      <c r="J29" s="191" t="str">
        <f t="shared" si="13"/>
        <v/>
      </c>
      <c r="K29" s="191" t="str">
        <f t="shared" si="14"/>
        <v/>
      </c>
      <c r="L29" s="191">
        <f t="shared" si="18"/>
        <v>0.33333333333333331</v>
      </c>
      <c r="M29" s="191" t="str">
        <f t="shared" si="15"/>
        <v/>
      </c>
      <c r="N29" s="191" t="str">
        <f t="shared" si="4"/>
        <v/>
      </c>
      <c r="O29" s="191" t="str">
        <f t="shared" si="16"/>
        <v/>
      </c>
      <c r="P29" s="191" t="str">
        <f t="shared" si="17"/>
        <v/>
      </c>
      <c r="Q29" s="190"/>
      <c r="R29" s="251"/>
      <c r="S29" s="25" t="b">
        <f t="shared" si="10"/>
        <v>1</v>
      </c>
      <c r="T29" s="55"/>
      <c r="U29" s="54"/>
      <c r="V29" s="25"/>
      <c r="W29" s="26" t="str">
        <f t="shared" si="11"/>
        <v/>
      </c>
      <c r="X29" s="26" t="b">
        <f t="shared" si="9"/>
        <v>1</v>
      </c>
      <c r="AA29" s="137"/>
    </row>
    <row r="30" spans="1:27" s="26" customFormat="1" ht="12">
      <c r="A30" s="187">
        <f t="shared" si="7"/>
        <v>42083</v>
      </c>
      <c r="B30" s="258" t="str">
        <f t="shared" si="12"/>
        <v>金</v>
      </c>
      <c r="C30" s="189"/>
      <c r="D30" s="190"/>
      <c r="E30" s="190"/>
      <c r="F30" s="190"/>
      <c r="G30" s="250"/>
      <c r="H30" s="250"/>
      <c r="I30" s="250"/>
      <c r="J30" s="191" t="str">
        <f t="shared" si="13"/>
        <v/>
      </c>
      <c r="K30" s="191" t="str">
        <f t="shared" si="14"/>
        <v/>
      </c>
      <c r="L30" s="191">
        <f t="shared" si="18"/>
        <v>0.33333333333333331</v>
      </c>
      <c r="M30" s="191" t="str">
        <f t="shared" si="15"/>
        <v/>
      </c>
      <c r="N30" s="191" t="str">
        <f t="shared" si="4"/>
        <v/>
      </c>
      <c r="O30" s="191" t="str">
        <f t="shared" si="16"/>
        <v/>
      </c>
      <c r="P30" s="191" t="str">
        <f t="shared" si="17"/>
        <v/>
      </c>
      <c r="Q30" s="190"/>
      <c r="R30" s="251"/>
      <c r="S30" s="25" t="b">
        <f t="shared" si="10"/>
        <v>1</v>
      </c>
      <c r="T30" s="55"/>
      <c r="U30" s="54"/>
      <c r="V30" s="25"/>
      <c r="W30" s="26" t="str">
        <f t="shared" si="11"/>
        <v/>
      </c>
      <c r="X30" s="26" t="b">
        <f t="shared" si="9"/>
        <v>1</v>
      </c>
      <c r="AA30" s="137"/>
    </row>
    <row r="31" spans="1:27" s="26" customFormat="1" ht="12">
      <c r="A31" s="178">
        <f t="shared" si="7"/>
        <v>42084</v>
      </c>
      <c r="B31" s="264" t="str">
        <f t="shared" si="12"/>
        <v>土</v>
      </c>
      <c r="C31" s="180" t="s">
        <v>104</v>
      </c>
      <c r="D31" s="181"/>
      <c r="E31" s="181"/>
      <c r="F31" s="181"/>
      <c r="G31" s="252"/>
      <c r="H31" s="252"/>
      <c r="I31" s="252"/>
      <c r="J31" s="182" t="str">
        <f t="shared" si="13"/>
        <v/>
      </c>
      <c r="K31" s="182" t="str">
        <f t="shared" si="14"/>
        <v/>
      </c>
      <c r="L31" s="182" t="str">
        <f t="shared" si="18"/>
        <v/>
      </c>
      <c r="M31" s="182" t="str">
        <f t="shared" si="15"/>
        <v/>
      </c>
      <c r="N31" s="182" t="str">
        <f t="shared" si="4"/>
        <v/>
      </c>
      <c r="O31" s="182" t="str">
        <f t="shared" si="16"/>
        <v/>
      </c>
      <c r="P31" s="182" t="str">
        <f t="shared" si="17"/>
        <v/>
      </c>
      <c r="Q31" s="181"/>
      <c r="R31" s="253"/>
      <c r="S31" s="25" t="b">
        <f t="shared" si="10"/>
        <v>0</v>
      </c>
      <c r="T31" s="55"/>
      <c r="U31" s="54"/>
      <c r="V31" s="25"/>
      <c r="W31" s="26" t="str">
        <f t="shared" si="11"/>
        <v/>
      </c>
      <c r="X31" s="26" t="str">
        <f t="shared" si="9"/>
        <v/>
      </c>
      <c r="AA31" s="137"/>
    </row>
    <row r="32" spans="1:27" s="26" customFormat="1" ht="12">
      <c r="A32" s="172">
        <f t="shared" si="7"/>
        <v>42085</v>
      </c>
      <c r="B32" s="259" t="str">
        <f t="shared" si="12"/>
        <v>日</v>
      </c>
      <c r="C32" s="174"/>
      <c r="D32" s="175"/>
      <c r="E32" s="175"/>
      <c r="F32" s="175"/>
      <c r="G32" s="254"/>
      <c r="H32" s="254"/>
      <c r="I32" s="254"/>
      <c r="J32" s="176" t="str">
        <f t="shared" si="13"/>
        <v/>
      </c>
      <c r="K32" s="176" t="str">
        <f t="shared" si="14"/>
        <v/>
      </c>
      <c r="L32" s="176" t="str">
        <f t="shared" si="18"/>
        <v/>
      </c>
      <c r="M32" s="176" t="str">
        <f t="shared" si="15"/>
        <v/>
      </c>
      <c r="N32" s="176" t="str">
        <f t="shared" si="4"/>
        <v/>
      </c>
      <c r="O32" s="176" t="str">
        <f t="shared" si="16"/>
        <v/>
      </c>
      <c r="P32" s="176" t="str">
        <f t="shared" si="17"/>
        <v/>
      </c>
      <c r="Q32" s="175"/>
      <c r="R32" s="255"/>
      <c r="S32" s="25" t="b">
        <f t="shared" si="10"/>
        <v>0</v>
      </c>
      <c r="T32" s="55"/>
      <c r="U32" s="54"/>
      <c r="V32" s="25"/>
      <c r="W32" s="26" t="str">
        <f t="shared" si="11"/>
        <v/>
      </c>
      <c r="X32" s="26" t="str">
        <f t="shared" si="9"/>
        <v/>
      </c>
      <c r="AA32" s="137"/>
    </row>
    <row r="33" spans="1:27" s="26" customFormat="1" ht="12">
      <c r="A33" s="187">
        <f t="shared" si="7"/>
        <v>42086</v>
      </c>
      <c r="B33" s="257" t="str">
        <f t="shared" si="12"/>
        <v>月</v>
      </c>
      <c r="C33" s="189"/>
      <c r="D33" s="190"/>
      <c r="E33" s="190"/>
      <c r="F33" s="190"/>
      <c r="G33" s="250"/>
      <c r="H33" s="250"/>
      <c r="I33" s="250"/>
      <c r="J33" s="191" t="str">
        <f t="shared" si="13"/>
        <v/>
      </c>
      <c r="K33" s="191" t="str">
        <f t="shared" si="14"/>
        <v/>
      </c>
      <c r="L33" s="191">
        <f t="shared" si="18"/>
        <v>0.33333333333333331</v>
      </c>
      <c r="M33" s="191" t="str">
        <f t="shared" si="15"/>
        <v/>
      </c>
      <c r="N33" s="191" t="str">
        <f t="shared" si="4"/>
        <v/>
      </c>
      <c r="O33" s="191" t="str">
        <f t="shared" si="16"/>
        <v/>
      </c>
      <c r="P33" s="191" t="str">
        <f t="shared" si="17"/>
        <v/>
      </c>
      <c r="Q33" s="190"/>
      <c r="R33" s="251"/>
      <c r="S33" s="25" t="b">
        <f t="shared" si="10"/>
        <v>1</v>
      </c>
      <c r="T33" s="55"/>
      <c r="U33" s="54"/>
      <c r="V33" s="25"/>
      <c r="W33" s="26" t="str">
        <f t="shared" si="11"/>
        <v/>
      </c>
      <c r="X33" s="26" t="b">
        <f t="shared" si="9"/>
        <v>1</v>
      </c>
      <c r="AA33" s="137"/>
    </row>
    <row r="34" spans="1:27" s="26" customFormat="1" ht="12">
      <c r="A34" s="187">
        <f t="shared" si="7"/>
        <v>42087</v>
      </c>
      <c r="B34" s="257" t="str">
        <f t="shared" si="12"/>
        <v>火</v>
      </c>
      <c r="C34" s="189"/>
      <c r="D34" s="190"/>
      <c r="E34" s="190"/>
      <c r="F34" s="190"/>
      <c r="G34" s="250"/>
      <c r="H34" s="250"/>
      <c r="I34" s="250"/>
      <c r="J34" s="191" t="str">
        <f t="shared" si="13"/>
        <v/>
      </c>
      <c r="K34" s="191" t="str">
        <f t="shared" si="14"/>
        <v/>
      </c>
      <c r="L34" s="191">
        <f t="shared" si="18"/>
        <v>0.33333333333333331</v>
      </c>
      <c r="M34" s="191" t="str">
        <f t="shared" si="15"/>
        <v/>
      </c>
      <c r="N34" s="191" t="str">
        <f t="shared" si="4"/>
        <v/>
      </c>
      <c r="O34" s="191" t="str">
        <f t="shared" si="16"/>
        <v/>
      </c>
      <c r="P34" s="191" t="str">
        <f t="shared" si="17"/>
        <v/>
      </c>
      <c r="Q34" s="190"/>
      <c r="R34" s="251"/>
      <c r="S34" s="25" t="b">
        <f t="shared" si="10"/>
        <v>1</v>
      </c>
      <c r="T34" s="55"/>
      <c r="U34" s="54"/>
      <c r="V34" s="25"/>
      <c r="W34" s="26" t="str">
        <f t="shared" si="11"/>
        <v/>
      </c>
      <c r="X34" s="26" t="b">
        <f t="shared" si="9"/>
        <v>1</v>
      </c>
      <c r="AA34" s="137"/>
    </row>
    <row r="35" spans="1:27" s="26" customFormat="1" ht="12">
      <c r="A35" s="187">
        <f t="shared" si="7"/>
        <v>42088</v>
      </c>
      <c r="B35" s="257" t="str">
        <f t="shared" si="12"/>
        <v>水</v>
      </c>
      <c r="C35" s="189"/>
      <c r="D35" s="190"/>
      <c r="E35" s="190"/>
      <c r="F35" s="190"/>
      <c r="G35" s="250"/>
      <c r="H35" s="250"/>
      <c r="I35" s="250"/>
      <c r="J35" s="191" t="str">
        <f t="shared" si="13"/>
        <v/>
      </c>
      <c r="K35" s="191" t="str">
        <f t="shared" si="14"/>
        <v/>
      </c>
      <c r="L35" s="191">
        <f t="shared" si="18"/>
        <v>0.33333333333333331</v>
      </c>
      <c r="M35" s="191" t="str">
        <f t="shared" si="15"/>
        <v/>
      </c>
      <c r="N35" s="191" t="str">
        <f t="shared" si="4"/>
        <v/>
      </c>
      <c r="O35" s="191" t="str">
        <f t="shared" si="16"/>
        <v/>
      </c>
      <c r="P35" s="191" t="str">
        <f t="shared" si="17"/>
        <v/>
      </c>
      <c r="Q35" s="190"/>
      <c r="R35" s="251"/>
      <c r="S35" s="25" t="b">
        <f t="shared" si="10"/>
        <v>1</v>
      </c>
      <c r="T35" s="55"/>
      <c r="U35" s="54"/>
      <c r="V35" s="25"/>
      <c r="W35" s="26" t="str">
        <f t="shared" si="11"/>
        <v/>
      </c>
      <c r="X35" s="26" t="b">
        <f t="shared" si="9"/>
        <v>1</v>
      </c>
      <c r="AA35" s="137"/>
    </row>
    <row r="36" spans="1:27" s="26" customFormat="1" ht="12">
      <c r="A36" s="187">
        <f t="shared" si="7"/>
        <v>42089</v>
      </c>
      <c r="B36" s="257" t="str">
        <f t="shared" si="12"/>
        <v>木</v>
      </c>
      <c r="C36" s="189"/>
      <c r="D36" s="190"/>
      <c r="E36" s="190"/>
      <c r="F36" s="190"/>
      <c r="G36" s="250"/>
      <c r="H36" s="250"/>
      <c r="I36" s="250"/>
      <c r="J36" s="191" t="str">
        <f t="shared" si="13"/>
        <v/>
      </c>
      <c r="K36" s="191" t="str">
        <f t="shared" si="14"/>
        <v/>
      </c>
      <c r="L36" s="191">
        <f t="shared" si="18"/>
        <v>0.33333333333333331</v>
      </c>
      <c r="M36" s="191" t="str">
        <f t="shared" si="15"/>
        <v/>
      </c>
      <c r="N36" s="191" t="str">
        <f t="shared" si="4"/>
        <v/>
      </c>
      <c r="O36" s="191" t="str">
        <f t="shared" si="16"/>
        <v/>
      </c>
      <c r="P36" s="191" t="str">
        <f t="shared" si="17"/>
        <v/>
      </c>
      <c r="Q36" s="190"/>
      <c r="R36" s="251"/>
      <c r="S36" s="25" t="b">
        <f t="shared" si="10"/>
        <v>1</v>
      </c>
      <c r="T36" s="55"/>
      <c r="U36" s="54"/>
      <c r="V36" s="25"/>
      <c r="W36" s="26" t="str">
        <f t="shared" si="11"/>
        <v/>
      </c>
      <c r="X36" s="26" t="b">
        <f t="shared" si="9"/>
        <v>1</v>
      </c>
      <c r="AA36" s="137"/>
    </row>
    <row r="37" spans="1:27" s="26" customFormat="1" ht="13.5" customHeight="1">
      <c r="A37" s="187">
        <f t="shared" si="7"/>
        <v>42090</v>
      </c>
      <c r="B37" s="258" t="str">
        <f t="shared" si="12"/>
        <v>金</v>
      </c>
      <c r="C37" s="189"/>
      <c r="D37" s="190"/>
      <c r="E37" s="190"/>
      <c r="F37" s="190"/>
      <c r="G37" s="250"/>
      <c r="H37" s="250"/>
      <c r="I37" s="250"/>
      <c r="J37" s="191" t="str">
        <f t="shared" si="13"/>
        <v/>
      </c>
      <c r="K37" s="191" t="str">
        <f t="shared" si="14"/>
        <v/>
      </c>
      <c r="L37" s="191">
        <f t="shared" si="18"/>
        <v>0.33333333333333331</v>
      </c>
      <c r="M37" s="191" t="str">
        <f t="shared" si="15"/>
        <v/>
      </c>
      <c r="N37" s="191" t="str">
        <f t="shared" si="4"/>
        <v/>
      </c>
      <c r="O37" s="191" t="str">
        <f t="shared" si="16"/>
        <v/>
      </c>
      <c r="P37" s="191" t="str">
        <f t="shared" si="17"/>
        <v/>
      </c>
      <c r="Q37" s="190"/>
      <c r="R37" s="251"/>
      <c r="S37" s="25" t="b">
        <f t="shared" si="10"/>
        <v>1</v>
      </c>
      <c r="T37" s="55"/>
      <c r="U37" s="54"/>
      <c r="V37" s="25"/>
      <c r="W37" s="26" t="str">
        <f t="shared" si="11"/>
        <v/>
      </c>
      <c r="X37" s="26" t="b">
        <f t="shared" si="9"/>
        <v>1</v>
      </c>
      <c r="AA37" s="137"/>
    </row>
    <row r="38" spans="1:27" s="26" customFormat="1" ht="12">
      <c r="A38" s="178">
        <f t="shared" si="7"/>
        <v>42091</v>
      </c>
      <c r="B38" s="264" t="str">
        <f t="shared" si="12"/>
        <v>土</v>
      </c>
      <c r="C38" s="180"/>
      <c r="D38" s="181"/>
      <c r="E38" s="181"/>
      <c r="F38" s="181"/>
      <c r="G38" s="252"/>
      <c r="H38" s="252"/>
      <c r="I38" s="252"/>
      <c r="J38" s="182" t="str">
        <f t="shared" si="13"/>
        <v/>
      </c>
      <c r="K38" s="182" t="str">
        <f t="shared" si="14"/>
        <v/>
      </c>
      <c r="L38" s="182" t="str">
        <f t="shared" si="18"/>
        <v/>
      </c>
      <c r="M38" s="182" t="str">
        <f t="shared" si="15"/>
        <v/>
      </c>
      <c r="N38" s="182" t="str">
        <f t="shared" si="4"/>
        <v/>
      </c>
      <c r="O38" s="182" t="str">
        <f t="shared" si="16"/>
        <v/>
      </c>
      <c r="P38" s="182" t="str">
        <f t="shared" si="17"/>
        <v/>
      </c>
      <c r="Q38" s="181"/>
      <c r="R38" s="253"/>
      <c r="S38" s="25" t="b">
        <f t="shared" si="10"/>
        <v>0</v>
      </c>
      <c r="T38" s="55"/>
      <c r="U38" s="54"/>
      <c r="V38" s="25"/>
      <c r="W38" s="26" t="str">
        <f t="shared" si="11"/>
        <v/>
      </c>
      <c r="X38" s="26" t="str">
        <f t="shared" si="9"/>
        <v/>
      </c>
      <c r="AA38" s="137"/>
    </row>
    <row r="39" spans="1:27" s="26" customFormat="1" ht="12">
      <c r="A39" s="172">
        <f t="shared" si="7"/>
        <v>42092</v>
      </c>
      <c r="B39" s="259" t="str">
        <f t="shared" si="12"/>
        <v>日</v>
      </c>
      <c r="C39" s="174"/>
      <c r="D39" s="175"/>
      <c r="E39" s="175"/>
      <c r="F39" s="175"/>
      <c r="G39" s="254"/>
      <c r="H39" s="254"/>
      <c r="I39" s="254"/>
      <c r="J39" s="176" t="str">
        <f t="shared" si="13"/>
        <v/>
      </c>
      <c r="K39" s="176" t="str">
        <f t="shared" si="14"/>
        <v/>
      </c>
      <c r="L39" s="176" t="str">
        <f t="shared" si="18"/>
        <v/>
      </c>
      <c r="M39" s="176" t="str">
        <f t="shared" si="15"/>
        <v/>
      </c>
      <c r="N39" s="176" t="str">
        <f t="shared" si="4"/>
        <v/>
      </c>
      <c r="O39" s="176" t="str">
        <f t="shared" si="16"/>
        <v/>
      </c>
      <c r="P39" s="176" t="str">
        <f t="shared" si="17"/>
        <v/>
      </c>
      <c r="Q39" s="175"/>
      <c r="R39" s="255"/>
      <c r="S39" s="25" t="b">
        <f t="shared" si="10"/>
        <v>0</v>
      </c>
      <c r="T39" s="55"/>
      <c r="U39" s="54"/>
      <c r="V39" s="25"/>
      <c r="W39" s="26" t="str">
        <f t="shared" si="11"/>
        <v/>
      </c>
      <c r="X39" s="26" t="str">
        <f t="shared" si="9"/>
        <v/>
      </c>
      <c r="AA39" s="137"/>
    </row>
    <row r="40" spans="1:27" s="26" customFormat="1" ht="12">
      <c r="A40" s="187">
        <f t="shared" si="7"/>
        <v>42093</v>
      </c>
      <c r="B40" s="257" t="str">
        <f t="shared" si="12"/>
        <v>月</v>
      </c>
      <c r="C40" s="189"/>
      <c r="D40" s="190"/>
      <c r="E40" s="190"/>
      <c r="F40" s="190"/>
      <c r="G40" s="250"/>
      <c r="H40" s="250"/>
      <c r="I40" s="250"/>
      <c r="J40" s="191" t="str">
        <f t="shared" si="13"/>
        <v/>
      </c>
      <c r="K40" s="191" t="str">
        <f t="shared" si="14"/>
        <v/>
      </c>
      <c r="L40" s="191">
        <f t="shared" si="18"/>
        <v>0.33333333333333331</v>
      </c>
      <c r="M40" s="191" t="str">
        <f t="shared" si="15"/>
        <v/>
      </c>
      <c r="N40" s="191" t="str">
        <f t="shared" si="4"/>
        <v/>
      </c>
      <c r="O40" s="191" t="str">
        <f t="shared" si="16"/>
        <v/>
      </c>
      <c r="P40" s="191" t="str">
        <f t="shared" si="17"/>
        <v/>
      </c>
      <c r="Q40" s="190"/>
      <c r="R40" s="192"/>
      <c r="S40" s="25" t="b">
        <f t="shared" si="10"/>
        <v>1</v>
      </c>
      <c r="T40" s="55"/>
      <c r="U40" s="54"/>
      <c r="V40" s="25"/>
      <c r="W40" s="26" t="str">
        <f t="shared" si="11"/>
        <v/>
      </c>
      <c r="X40" s="26" t="b">
        <f t="shared" si="9"/>
        <v>1</v>
      </c>
      <c r="AA40" s="137"/>
    </row>
    <row r="41" spans="1:27" s="26" customFormat="1" ht="12">
      <c r="A41" s="187">
        <f t="shared" si="7"/>
        <v>42094</v>
      </c>
      <c r="B41" s="257" t="str">
        <f t="shared" si="12"/>
        <v>火</v>
      </c>
      <c r="C41" s="189"/>
      <c r="D41" s="190"/>
      <c r="E41" s="190"/>
      <c r="F41" s="190"/>
      <c r="G41" s="250"/>
      <c r="H41" s="250"/>
      <c r="I41" s="250"/>
      <c r="J41" s="191" t="str">
        <f t="shared" si="13"/>
        <v/>
      </c>
      <c r="K41" s="191" t="str">
        <f t="shared" si="14"/>
        <v/>
      </c>
      <c r="L41" s="191">
        <f t="shared" si="18"/>
        <v>0.33333333333333331</v>
      </c>
      <c r="M41" s="191" t="str">
        <f t="shared" si="15"/>
        <v/>
      </c>
      <c r="N41" s="191" t="str">
        <f t="shared" si="4"/>
        <v/>
      </c>
      <c r="O41" s="191" t="str">
        <f t="shared" si="16"/>
        <v/>
      </c>
      <c r="P41" s="191" t="str">
        <f t="shared" si="17"/>
        <v/>
      </c>
      <c r="Q41" s="190"/>
      <c r="R41" s="192"/>
      <c r="S41" s="25" t="b">
        <f t="shared" si="10"/>
        <v>1</v>
      </c>
      <c r="T41" s="55"/>
      <c r="U41" s="54"/>
      <c r="V41" s="25"/>
      <c r="W41" s="26" t="str">
        <f t="shared" si="11"/>
        <v/>
      </c>
      <c r="X41" s="26" t="b">
        <f t="shared" si="9"/>
        <v>1</v>
      </c>
      <c r="AA41" s="137"/>
    </row>
    <row r="42" spans="1:27" s="46" customFormat="1" ht="23.25" customHeight="1">
      <c r="A42" s="43" t="s">
        <v>4</v>
      </c>
      <c r="B42" s="44"/>
      <c r="C42" s="44"/>
      <c r="D42" s="44"/>
      <c r="E42" s="44"/>
      <c r="F42" s="51">
        <f>SUM(F11:F41)</f>
        <v>0</v>
      </c>
      <c r="G42" s="51">
        <f t="shared" ref="G42:P42" si="19">SUM(G11:G41)</f>
        <v>0</v>
      </c>
      <c r="H42" s="51">
        <f t="shared" si="19"/>
        <v>0</v>
      </c>
      <c r="I42" s="51">
        <f>SUM(I11:I41)</f>
        <v>0</v>
      </c>
      <c r="J42" s="52">
        <f t="shared" si="19"/>
        <v>0</v>
      </c>
      <c r="K42" s="52">
        <f t="shared" si="19"/>
        <v>0</v>
      </c>
      <c r="L42" s="51">
        <f t="shared" si="19"/>
        <v>7.3333333333333304</v>
      </c>
      <c r="M42" s="51">
        <f t="shared" si="19"/>
        <v>0</v>
      </c>
      <c r="N42" s="51">
        <f t="shared" si="19"/>
        <v>0</v>
      </c>
      <c r="O42" s="51">
        <f t="shared" si="19"/>
        <v>0</v>
      </c>
      <c r="P42" s="51">
        <f t="shared" si="19"/>
        <v>0</v>
      </c>
      <c r="Q42" s="51">
        <f>SUM(Q11:Q41)</f>
        <v>0</v>
      </c>
      <c r="R42" s="45"/>
    </row>
    <row r="43" spans="1:27" s="48" customFormat="1" ht="25.5" customHeight="1" thickBot="1">
      <c r="A43" s="270" t="s">
        <v>33</v>
      </c>
      <c r="B43" s="271"/>
      <c r="C43" s="271"/>
      <c r="D43" s="271"/>
      <c r="E43" s="271"/>
      <c r="F43" s="271"/>
      <c r="G43" s="271"/>
      <c r="H43" s="271"/>
      <c r="I43" s="271"/>
      <c r="J43" s="271"/>
      <c r="K43" s="271"/>
      <c r="L43" s="271"/>
      <c r="M43" s="271"/>
      <c r="N43" s="271"/>
      <c r="O43" s="271"/>
      <c r="P43" s="272"/>
      <c r="Q43" s="53">
        <f>FLOOR(IF(Q42&gt;=H42,+M42+O42+P42+Q42-H42,+M42+O42+P42),"0:15")</f>
        <v>0</v>
      </c>
      <c r="R43" s="74"/>
      <c r="S43" s="47"/>
      <c r="T43" s="50">
        <v>2</v>
      </c>
      <c r="U43" s="50">
        <v>3.75</v>
      </c>
      <c r="V43" s="49"/>
    </row>
    <row r="44" spans="1:27" s="16" customFormat="1" ht="12.75" thickTop="1">
      <c r="E44" s="8"/>
      <c r="F44" s="8"/>
      <c r="G44" s="8"/>
      <c r="H44" s="8"/>
      <c r="I44" s="8"/>
      <c r="J44" s="2"/>
      <c r="K44" s="2"/>
      <c r="L44" s="2"/>
      <c r="M44" s="2"/>
      <c r="N44" s="2"/>
      <c r="O44" s="2"/>
      <c r="P44" s="2"/>
      <c r="Q44" s="2"/>
      <c r="S44" s="17"/>
      <c r="T44" s="17"/>
      <c r="U44" s="17"/>
      <c r="V44" s="17"/>
    </row>
    <row r="45" spans="1:27" s="16" customFormat="1" ht="6" customHeight="1" thickBot="1">
      <c r="S45" s="17"/>
      <c r="T45" s="17"/>
      <c r="U45" s="17"/>
      <c r="V45" s="17"/>
    </row>
    <row r="46" spans="1:27" s="11" customFormat="1" ht="33.75" customHeight="1" thickTop="1">
      <c r="B46" s="273" t="s">
        <v>5</v>
      </c>
      <c r="C46" s="274"/>
      <c r="D46" s="275"/>
      <c r="E46" s="276" t="s">
        <v>3</v>
      </c>
      <c r="F46" s="274"/>
      <c r="G46" s="275"/>
      <c r="H46" s="276" t="s">
        <v>6</v>
      </c>
      <c r="I46" s="274"/>
      <c r="J46" s="277"/>
      <c r="K46" s="59"/>
      <c r="M46" s="278" t="s">
        <v>34</v>
      </c>
      <c r="N46" s="279"/>
      <c r="O46" s="279"/>
      <c r="P46" s="279"/>
      <c r="Q46" s="279"/>
      <c r="R46" s="280"/>
    </row>
    <row r="47" spans="1:27" s="11" customFormat="1" ht="31.5" customHeight="1">
      <c r="B47" s="36"/>
      <c r="C47" s="19"/>
      <c r="D47" s="20"/>
      <c r="E47" s="21"/>
      <c r="F47" s="33"/>
      <c r="G47" s="64"/>
      <c r="H47" s="21"/>
      <c r="I47" s="33"/>
      <c r="J47" s="37"/>
      <c r="K47" s="19"/>
      <c r="M47" s="283" t="s">
        <v>15</v>
      </c>
      <c r="N47" s="284"/>
      <c r="O47" s="284"/>
      <c r="P47" s="284"/>
      <c r="Q47" s="285"/>
      <c r="R47" s="34"/>
    </row>
    <row r="48" spans="1:27" s="11" customFormat="1" ht="25.5" customHeight="1">
      <c r="B48" s="36"/>
      <c r="C48" s="22"/>
      <c r="D48" s="20"/>
      <c r="E48" s="18"/>
      <c r="F48" s="22"/>
      <c r="G48" s="20"/>
      <c r="H48" s="18"/>
      <c r="I48" s="22"/>
      <c r="J48" s="38"/>
      <c r="K48" s="22"/>
      <c r="M48" s="283" t="s">
        <v>13</v>
      </c>
      <c r="N48" s="284"/>
      <c r="O48" s="284"/>
      <c r="P48" s="284"/>
      <c r="Q48" s="285"/>
      <c r="R48" s="34"/>
    </row>
    <row r="49" spans="2:37" s="11" customFormat="1" ht="39" customHeight="1" thickBot="1">
      <c r="B49" s="56"/>
      <c r="C49" s="57"/>
      <c r="D49" s="58"/>
      <c r="E49" s="61"/>
      <c r="F49" s="63"/>
      <c r="G49" s="62"/>
      <c r="H49" s="61"/>
      <c r="I49" s="63"/>
      <c r="J49" s="65"/>
      <c r="K49" s="60"/>
      <c r="M49" s="265" t="s">
        <v>14</v>
      </c>
      <c r="N49" s="266"/>
      <c r="O49" s="266"/>
      <c r="P49" s="266"/>
      <c r="Q49" s="267"/>
      <c r="R49" s="35"/>
    </row>
    <row r="50" spans="2:37" ht="14.25" thickTop="1"/>
    <row r="51" spans="2:37">
      <c r="B51" s="32" t="s">
        <v>115</v>
      </c>
      <c r="X51" s="31"/>
      <c r="Y51" s="31"/>
      <c r="Z51" s="31"/>
      <c r="AA51" s="31"/>
      <c r="AB51" s="31"/>
      <c r="AC51" s="31"/>
      <c r="AD51" s="31"/>
      <c r="AE51" s="31"/>
      <c r="AF51" s="31"/>
      <c r="AG51" s="31"/>
      <c r="AH51" s="31"/>
      <c r="AI51" s="31"/>
      <c r="AJ51" s="31"/>
      <c r="AK51" s="31"/>
    </row>
    <row r="52" spans="2:37" s="23" customFormat="1" ht="15.75" customHeight="1">
      <c r="B52" s="23" t="s">
        <v>35</v>
      </c>
      <c r="S52" s="24"/>
      <c r="T52" s="24"/>
      <c r="U52" s="24"/>
      <c r="V52" s="24"/>
    </row>
    <row r="53" spans="2:37" s="23" customFormat="1" ht="15.75" customHeight="1">
      <c r="B53" s="23" t="s">
        <v>162</v>
      </c>
      <c r="S53" s="24"/>
      <c r="T53" s="24"/>
      <c r="U53" s="24"/>
      <c r="V53" s="24"/>
    </row>
    <row r="54" spans="2:37" s="23" customFormat="1" ht="15.75" customHeight="1">
      <c r="B54" s="23" t="s">
        <v>12</v>
      </c>
      <c r="S54" s="24"/>
      <c r="T54" s="24"/>
      <c r="U54" s="24"/>
      <c r="V54" s="24"/>
    </row>
    <row r="55" spans="2:37" s="23" customFormat="1" ht="15.75" customHeight="1">
      <c r="B55" s="23" t="s">
        <v>36</v>
      </c>
      <c r="S55" s="24"/>
      <c r="T55" s="24"/>
      <c r="U55" s="24"/>
      <c r="V55" s="24"/>
    </row>
    <row r="56" spans="2:37" s="23" customFormat="1" ht="15.75" customHeight="1">
      <c r="B56" s="23" t="s">
        <v>37</v>
      </c>
      <c r="S56" s="24"/>
      <c r="T56" s="24"/>
      <c r="U56" s="24"/>
      <c r="V56" s="24"/>
    </row>
    <row r="57" spans="2:37" ht="15.75" customHeight="1">
      <c r="B57" s="8" t="s">
        <v>16</v>
      </c>
    </row>
    <row r="58" spans="2:37">
      <c r="B58" s="249" t="s">
        <v>161</v>
      </c>
    </row>
    <row r="59" spans="2:37">
      <c r="B59" s="143" t="s">
        <v>105</v>
      </c>
    </row>
    <row r="61" spans="2:37">
      <c r="B61" s="8" t="s">
        <v>109</v>
      </c>
    </row>
    <row r="62" spans="2:37">
      <c r="B62" s="8" t="s">
        <v>107</v>
      </c>
    </row>
    <row r="63" spans="2:37">
      <c r="B63" s="8" t="s">
        <v>108</v>
      </c>
    </row>
    <row r="65" spans="2:2">
      <c r="B65" s="8" t="s">
        <v>176</v>
      </c>
    </row>
    <row r="66" spans="2:2">
      <c r="B66" s="150" t="s">
        <v>175</v>
      </c>
    </row>
    <row r="67" spans="2:2">
      <c r="B67" s="150" t="s">
        <v>177</v>
      </c>
    </row>
    <row r="68" spans="2:2">
      <c r="B68" s="150" t="s">
        <v>178</v>
      </c>
    </row>
    <row r="69" spans="2:2">
      <c r="B69" s="150" t="s">
        <v>179</v>
      </c>
    </row>
  </sheetData>
  <sheetProtection password="C8B7" sheet="1" formatCells="0" formatColumns="0" formatRows="0"/>
  <dataConsolidate/>
  <mergeCells count="12">
    <mergeCell ref="M49:Q49"/>
    <mergeCell ref="D4:F4"/>
    <mergeCell ref="D5:F5"/>
    <mergeCell ref="A43:P43"/>
    <mergeCell ref="B46:D46"/>
    <mergeCell ref="E46:G46"/>
    <mergeCell ref="H46:J46"/>
    <mergeCell ref="M46:R46"/>
    <mergeCell ref="D8:F8"/>
    <mergeCell ref="D6:F6"/>
    <mergeCell ref="M47:Q47"/>
    <mergeCell ref="M48:Q48"/>
  </mergeCells>
  <phoneticPr fontId="3"/>
  <conditionalFormatting sqref="T11:T41">
    <cfRule type="containsBlanks" dxfId="519" priority="5537" stopIfTrue="1">
      <formula>LEN(TRIM(T11))=0</formula>
    </cfRule>
  </conditionalFormatting>
  <conditionalFormatting sqref="T11:T41">
    <cfRule type="notContainsBlanks" dxfId="518" priority="5535" stopIfTrue="1">
      <formula>LEN(TRIM(T11))&gt;0</formula>
    </cfRule>
  </conditionalFormatting>
  <conditionalFormatting sqref="Q43">
    <cfRule type="cellIs" dxfId="517" priority="5533" stopIfTrue="1" operator="greaterThan">
      <formula>3.75</formula>
    </cfRule>
    <cfRule type="cellIs" dxfId="516" priority="5534" stopIfTrue="1" operator="between">
      <formula>1.875</formula>
      <formula>3.75</formula>
    </cfRule>
  </conditionalFormatting>
  <conditionalFormatting sqref="P11:P13 P15:P41 J11:O41">
    <cfRule type="notContainsBlanks" dxfId="515" priority="5294" stopIfTrue="1">
      <formula>LEN(TRIM(J11))&gt;0</formula>
    </cfRule>
  </conditionalFormatting>
  <conditionalFormatting sqref="R48">
    <cfRule type="notContainsBlanks" dxfId="514" priority="4033" stopIfTrue="1">
      <formula>LEN(TRIM(R48))&gt;0</formula>
    </cfRule>
  </conditionalFormatting>
  <conditionalFormatting sqref="Q43">
    <cfRule type="iconSet" priority="5532">
      <iconSet iconSet="3Symbols" reverse="1">
        <cfvo type="percent" val="0"/>
        <cfvo type="formula" val="Timesheet!$T$43"/>
        <cfvo type="formula" val="Timesheet!$U$43"/>
      </iconSet>
    </cfRule>
  </conditionalFormatting>
  <conditionalFormatting sqref="G15:I15">
    <cfRule type="expression" dxfId="513" priority="1712" stopIfTrue="1">
      <formula>$B15="土"</formula>
    </cfRule>
  </conditionalFormatting>
  <conditionalFormatting sqref="G15:I15">
    <cfRule type="expression" dxfId="512" priority="1709" stopIfTrue="1">
      <formula>$B15="Sat"</formula>
    </cfRule>
    <cfRule type="expression" dxfId="511" priority="1710" stopIfTrue="1">
      <formula>$B15="日"</formula>
    </cfRule>
    <cfRule type="expression" dxfId="510" priority="1711" stopIfTrue="1">
      <formula>$B15="Sun"</formula>
    </cfRule>
  </conditionalFormatting>
  <conditionalFormatting sqref="G17:I17">
    <cfRule type="expression" dxfId="509" priority="1708" stopIfTrue="1">
      <formula>$B17="土"</formula>
    </cfRule>
  </conditionalFormatting>
  <conditionalFormatting sqref="G17:I17">
    <cfRule type="expression" dxfId="508" priority="1705" stopIfTrue="1">
      <formula>$B17="Sat"</formula>
    </cfRule>
    <cfRule type="expression" dxfId="507" priority="1706" stopIfTrue="1">
      <formula>$B17="日"</formula>
    </cfRule>
    <cfRule type="expression" dxfId="506" priority="1707" stopIfTrue="1">
      <formula>$B17="Sun"</formula>
    </cfRule>
  </conditionalFormatting>
  <conditionalFormatting sqref="G18:I18">
    <cfRule type="expression" dxfId="505" priority="1704" stopIfTrue="1">
      <formula>$B18="土"</formula>
    </cfRule>
  </conditionalFormatting>
  <conditionalFormatting sqref="G18:I18">
    <cfRule type="expression" dxfId="504" priority="1701" stopIfTrue="1">
      <formula>$B18="Sat"</formula>
    </cfRule>
    <cfRule type="expression" dxfId="503" priority="1702" stopIfTrue="1">
      <formula>$B18="日"</formula>
    </cfRule>
    <cfRule type="expression" dxfId="502" priority="1703" stopIfTrue="1">
      <formula>$B18="Sun"</formula>
    </cfRule>
  </conditionalFormatting>
  <conditionalFormatting sqref="G19:I19">
    <cfRule type="expression" dxfId="501" priority="1700" stopIfTrue="1">
      <formula>$B19="土"</formula>
    </cfRule>
  </conditionalFormatting>
  <conditionalFormatting sqref="G19:I19">
    <cfRule type="expression" dxfId="500" priority="1697" stopIfTrue="1">
      <formula>$B19="Sat"</formula>
    </cfRule>
    <cfRule type="expression" dxfId="499" priority="1698" stopIfTrue="1">
      <formula>$B19="日"</formula>
    </cfRule>
    <cfRule type="expression" dxfId="498" priority="1699" stopIfTrue="1">
      <formula>$B19="Sun"</formula>
    </cfRule>
  </conditionalFormatting>
  <conditionalFormatting sqref="G20:I20">
    <cfRule type="expression" dxfId="497" priority="1696" stopIfTrue="1">
      <formula>$B20="土"</formula>
    </cfRule>
  </conditionalFormatting>
  <conditionalFormatting sqref="G20:I20">
    <cfRule type="expression" dxfId="496" priority="1693" stopIfTrue="1">
      <formula>$B20="Sat"</formula>
    </cfRule>
    <cfRule type="expression" dxfId="495" priority="1694" stopIfTrue="1">
      <formula>$B20="日"</formula>
    </cfRule>
    <cfRule type="expression" dxfId="494" priority="1695" stopIfTrue="1">
      <formula>$B20="Sun"</formula>
    </cfRule>
  </conditionalFormatting>
  <conditionalFormatting sqref="G21:I21">
    <cfRule type="expression" dxfId="493" priority="1692" stopIfTrue="1">
      <formula>$B21="土"</formula>
    </cfRule>
  </conditionalFormatting>
  <conditionalFormatting sqref="G21:I21">
    <cfRule type="expression" dxfId="492" priority="1689" stopIfTrue="1">
      <formula>$B21="Sat"</formula>
    </cfRule>
    <cfRule type="expression" dxfId="491" priority="1690" stopIfTrue="1">
      <formula>$B21="日"</formula>
    </cfRule>
    <cfRule type="expression" dxfId="490" priority="1691" stopIfTrue="1">
      <formula>$B21="Sun"</formula>
    </cfRule>
  </conditionalFormatting>
  <conditionalFormatting sqref="G22:I22">
    <cfRule type="expression" dxfId="489" priority="1688" stopIfTrue="1">
      <formula>$B22="土"</formula>
    </cfRule>
  </conditionalFormatting>
  <conditionalFormatting sqref="G22:I22">
    <cfRule type="expression" dxfId="488" priority="1685" stopIfTrue="1">
      <formula>$B22="Sat"</formula>
    </cfRule>
    <cfRule type="expression" dxfId="487" priority="1686" stopIfTrue="1">
      <formula>$B22="日"</formula>
    </cfRule>
    <cfRule type="expression" dxfId="486" priority="1687" stopIfTrue="1">
      <formula>$B22="Sun"</formula>
    </cfRule>
  </conditionalFormatting>
  <conditionalFormatting sqref="G23:I23">
    <cfRule type="expression" dxfId="485" priority="1684" stopIfTrue="1">
      <formula>$B23="土"</formula>
    </cfRule>
  </conditionalFormatting>
  <conditionalFormatting sqref="G23:I23">
    <cfRule type="expression" dxfId="484" priority="1681" stopIfTrue="1">
      <formula>$B23="Sat"</formula>
    </cfRule>
    <cfRule type="expression" dxfId="483" priority="1682" stopIfTrue="1">
      <formula>$B23="日"</formula>
    </cfRule>
    <cfRule type="expression" dxfId="482" priority="1683" stopIfTrue="1">
      <formula>$B23="Sun"</formula>
    </cfRule>
  </conditionalFormatting>
  <conditionalFormatting sqref="G24:I24">
    <cfRule type="expression" dxfId="481" priority="1680" stopIfTrue="1">
      <formula>$B24="土"</formula>
    </cfRule>
  </conditionalFormatting>
  <conditionalFormatting sqref="G24:I24">
    <cfRule type="expression" dxfId="480" priority="1677" stopIfTrue="1">
      <formula>$B24="Sat"</formula>
    </cfRule>
    <cfRule type="expression" dxfId="479" priority="1678" stopIfTrue="1">
      <formula>$B24="日"</formula>
    </cfRule>
    <cfRule type="expression" dxfId="478" priority="1679" stopIfTrue="1">
      <formula>$B24="Sun"</formula>
    </cfRule>
  </conditionalFormatting>
  <conditionalFormatting sqref="G25:I25">
    <cfRule type="expression" dxfId="477" priority="1676" stopIfTrue="1">
      <formula>$B25="土"</formula>
    </cfRule>
  </conditionalFormatting>
  <conditionalFormatting sqref="G25:I25">
    <cfRule type="expression" dxfId="476" priority="1673" stopIfTrue="1">
      <formula>$B25="Sat"</formula>
    </cfRule>
    <cfRule type="expression" dxfId="475" priority="1674" stopIfTrue="1">
      <formula>$B25="日"</formula>
    </cfRule>
    <cfRule type="expression" dxfId="474" priority="1675" stopIfTrue="1">
      <formula>$B25="Sun"</formula>
    </cfRule>
  </conditionalFormatting>
  <conditionalFormatting sqref="G26:I26">
    <cfRule type="expression" dxfId="473" priority="1672" stopIfTrue="1">
      <formula>$B26="土"</formula>
    </cfRule>
  </conditionalFormatting>
  <conditionalFormatting sqref="G26:I26">
    <cfRule type="expression" dxfId="472" priority="1669" stopIfTrue="1">
      <formula>$B26="Sat"</formula>
    </cfRule>
    <cfRule type="expression" dxfId="471" priority="1670" stopIfTrue="1">
      <formula>$B26="日"</formula>
    </cfRule>
    <cfRule type="expression" dxfId="470" priority="1671" stopIfTrue="1">
      <formula>$B26="Sun"</formula>
    </cfRule>
  </conditionalFormatting>
  <conditionalFormatting sqref="G27:I27">
    <cfRule type="expression" dxfId="469" priority="1668" stopIfTrue="1">
      <formula>$B27="土"</formula>
    </cfRule>
  </conditionalFormatting>
  <conditionalFormatting sqref="G27:I27">
    <cfRule type="expression" dxfId="468" priority="1665" stopIfTrue="1">
      <formula>$B27="Sat"</formula>
    </cfRule>
    <cfRule type="expression" dxfId="467" priority="1666" stopIfTrue="1">
      <formula>$B27="日"</formula>
    </cfRule>
    <cfRule type="expression" dxfId="466" priority="1667" stopIfTrue="1">
      <formula>$B27="Sun"</formula>
    </cfRule>
  </conditionalFormatting>
  <conditionalFormatting sqref="G28:I28">
    <cfRule type="expression" dxfId="465" priority="1664" stopIfTrue="1">
      <formula>$B28="土"</formula>
    </cfRule>
  </conditionalFormatting>
  <conditionalFormatting sqref="G28:I28">
    <cfRule type="expression" dxfId="464" priority="1661" stopIfTrue="1">
      <formula>$B28="Sat"</formula>
    </cfRule>
    <cfRule type="expression" dxfId="463" priority="1662" stopIfTrue="1">
      <formula>$B28="日"</formula>
    </cfRule>
    <cfRule type="expression" dxfId="462" priority="1663" stopIfTrue="1">
      <formula>$B28="Sun"</formula>
    </cfRule>
  </conditionalFormatting>
  <conditionalFormatting sqref="G29:I29">
    <cfRule type="expression" dxfId="461" priority="1660" stopIfTrue="1">
      <formula>$B29="土"</formula>
    </cfRule>
  </conditionalFormatting>
  <conditionalFormatting sqref="G29:I29">
    <cfRule type="expression" dxfId="460" priority="1657" stopIfTrue="1">
      <formula>$B29="Sat"</formula>
    </cfRule>
    <cfRule type="expression" dxfId="459" priority="1658" stopIfTrue="1">
      <formula>$B29="日"</formula>
    </cfRule>
    <cfRule type="expression" dxfId="458" priority="1659" stopIfTrue="1">
      <formula>$B29="Sun"</formula>
    </cfRule>
  </conditionalFormatting>
  <conditionalFormatting sqref="G30:I30">
    <cfRule type="expression" dxfId="457" priority="1656" stopIfTrue="1">
      <formula>$B30="土"</formula>
    </cfRule>
  </conditionalFormatting>
  <conditionalFormatting sqref="G30:I30">
    <cfRule type="expression" dxfId="456" priority="1653" stopIfTrue="1">
      <formula>$B30="Sat"</formula>
    </cfRule>
    <cfRule type="expression" dxfId="455" priority="1654" stopIfTrue="1">
      <formula>$B30="日"</formula>
    </cfRule>
    <cfRule type="expression" dxfId="454" priority="1655" stopIfTrue="1">
      <formula>$B30="Sun"</formula>
    </cfRule>
  </conditionalFormatting>
  <conditionalFormatting sqref="G31:I31">
    <cfRule type="expression" dxfId="453" priority="1652" stopIfTrue="1">
      <formula>$B31="土"</formula>
    </cfRule>
  </conditionalFormatting>
  <conditionalFormatting sqref="G31:I31">
    <cfRule type="expression" dxfId="452" priority="1649" stopIfTrue="1">
      <formula>$B31="Sat"</formula>
    </cfRule>
    <cfRule type="expression" dxfId="451" priority="1650" stopIfTrue="1">
      <formula>$B31="日"</formula>
    </cfRule>
    <cfRule type="expression" dxfId="450" priority="1651" stopIfTrue="1">
      <formula>$B31="Sun"</formula>
    </cfRule>
  </conditionalFormatting>
  <conditionalFormatting sqref="G32:I32">
    <cfRule type="expression" dxfId="449" priority="1648" stopIfTrue="1">
      <formula>$B32="土"</formula>
    </cfRule>
  </conditionalFormatting>
  <conditionalFormatting sqref="G32:I32">
    <cfRule type="expression" dxfId="448" priority="1645" stopIfTrue="1">
      <formula>$B32="Sat"</formula>
    </cfRule>
    <cfRule type="expression" dxfId="447" priority="1646" stopIfTrue="1">
      <formula>$B32="日"</formula>
    </cfRule>
    <cfRule type="expression" dxfId="446" priority="1647" stopIfTrue="1">
      <formula>$B32="Sun"</formula>
    </cfRule>
  </conditionalFormatting>
  <conditionalFormatting sqref="G33:I33">
    <cfRule type="expression" dxfId="445" priority="1644" stopIfTrue="1">
      <formula>$B33="土"</formula>
    </cfRule>
  </conditionalFormatting>
  <conditionalFormatting sqref="G33:I33">
    <cfRule type="expression" dxfId="444" priority="1641" stopIfTrue="1">
      <formula>$B33="Sat"</formula>
    </cfRule>
    <cfRule type="expression" dxfId="443" priority="1642" stopIfTrue="1">
      <formula>$B33="日"</formula>
    </cfRule>
    <cfRule type="expression" dxfId="442" priority="1643" stopIfTrue="1">
      <formula>$B33="Sun"</formula>
    </cfRule>
  </conditionalFormatting>
  <conditionalFormatting sqref="G34:I34">
    <cfRule type="expression" dxfId="441" priority="1640" stopIfTrue="1">
      <formula>$B34="土"</formula>
    </cfRule>
  </conditionalFormatting>
  <conditionalFormatting sqref="G34:I34">
    <cfRule type="expression" dxfId="440" priority="1637" stopIfTrue="1">
      <formula>$B34="Sat"</formula>
    </cfRule>
    <cfRule type="expression" dxfId="439" priority="1638" stopIfTrue="1">
      <formula>$B34="日"</formula>
    </cfRule>
    <cfRule type="expression" dxfId="438" priority="1639" stopIfTrue="1">
      <formula>$B34="Sun"</formula>
    </cfRule>
  </conditionalFormatting>
  <conditionalFormatting sqref="G35:I35">
    <cfRule type="expression" dxfId="437" priority="1636" stopIfTrue="1">
      <formula>$B35="土"</formula>
    </cfRule>
  </conditionalFormatting>
  <conditionalFormatting sqref="G35:I35">
    <cfRule type="expression" dxfId="436" priority="1633" stopIfTrue="1">
      <formula>$B35="Sat"</formula>
    </cfRule>
    <cfRule type="expression" dxfId="435" priority="1634" stopIfTrue="1">
      <formula>$B35="日"</formula>
    </cfRule>
    <cfRule type="expression" dxfId="434" priority="1635" stopIfTrue="1">
      <formula>$B35="Sun"</formula>
    </cfRule>
  </conditionalFormatting>
  <conditionalFormatting sqref="G36:I36">
    <cfRule type="expression" dxfId="433" priority="1632" stopIfTrue="1">
      <formula>$B36="土"</formula>
    </cfRule>
  </conditionalFormatting>
  <conditionalFormatting sqref="G36:I36">
    <cfRule type="expression" dxfId="432" priority="1629" stopIfTrue="1">
      <formula>$B36="Sat"</formula>
    </cfRule>
    <cfRule type="expression" dxfId="431" priority="1630" stopIfTrue="1">
      <formula>$B36="日"</formula>
    </cfRule>
    <cfRule type="expression" dxfId="430" priority="1631" stopIfTrue="1">
      <formula>$B36="Sun"</formula>
    </cfRule>
  </conditionalFormatting>
  <conditionalFormatting sqref="G37:I37">
    <cfRule type="expression" dxfId="429" priority="1628" stopIfTrue="1">
      <formula>$B37="土"</formula>
    </cfRule>
  </conditionalFormatting>
  <conditionalFormatting sqref="G37:I37">
    <cfRule type="expression" dxfId="428" priority="1625" stopIfTrue="1">
      <formula>$B37="Sat"</formula>
    </cfRule>
    <cfRule type="expression" dxfId="427" priority="1626" stopIfTrue="1">
      <formula>$B37="日"</formula>
    </cfRule>
    <cfRule type="expression" dxfId="426" priority="1627" stopIfTrue="1">
      <formula>$B37="Sun"</formula>
    </cfRule>
  </conditionalFormatting>
  <conditionalFormatting sqref="G38:I38">
    <cfRule type="expression" dxfId="425" priority="1624" stopIfTrue="1">
      <formula>$B38="土"</formula>
    </cfRule>
  </conditionalFormatting>
  <conditionalFormatting sqref="G38:I38">
    <cfRule type="expression" dxfId="424" priority="1621" stopIfTrue="1">
      <formula>$B38="Sat"</formula>
    </cfRule>
    <cfRule type="expression" dxfId="423" priority="1622" stopIfTrue="1">
      <formula>$B38="日"</formula>
    </cfRule>
    <cfRule type="expression" dxfId="422" priority="1623" stopIfTrue="1">
      <formula>$B38="Sun"</formula>
    </cfRule>
  </conditionalFormatting>
  <conditionalFormatting sqref="G39:I39">
    <cfRule type="expression" dxfId="421" priority="1620" stopIfTrue="1">
      <formula>$B39="土"</formula>
    </cfRule>
  </conditionalFormatting>
  <conditionalFormatting sqref="G39:I39">
    <cfRule type="expression" dxfId="420" priority="1617" stopIfTrue="1">
      <formula>$B39="Sat"</formula>
    </cfRule>
    <cfRule type="expression" dxfId="419" priority="1618" stopIfTrue="1">
      <formula>$B39="日"</formula>
    </cfRule>
    <cfRule type="expression" dxfId="418" priority="1619" stopIfTrue="1">
      <formula>$B39="Sun"</formula>
    </cfRule>
  </conditionalFormatting>
  <conditionalFormatting sqref="G40:I40">
    <cfRule type="expression" dxfId="417" priority="1616" stopIfTrue="1">
      <formula>$B40="土"</formula>
    </cfRule>
  </conditionalFormatting>
  <conditionalFormatting sqref="G40:I40">
    <cfRule type="expression" dxfId="416" priority="1613" stopIfTrue="1">
      <formula>$B40="Sat"</formula>
    </cfRule>
    <cfRule type="expression" dxfId="415" priority="1614" stopIfTrue="1">
      <formula>$B40="日"</formula>
    </cfRule>
    <cfRule type="expression" dxfId="414" priority="1615" stopIfTrue="1">
      <formula>$B40="Sun"</formula>
    </cfRule>
  </conditionalFormatting>
  <conditionalFormatting sqref="G41:I41">
    <cfRule type="expression" dxfId="413" priority="1612" stopIfTrue="1">
      <formula>$B41="土"</formula>
    </cfRule>
  </conditionalFormatting>
  <conditionalFormatting sqref="G41:I41">
    <cfRule type="expression" dxfId="412" priority="1609" stopIfTrue="1">
      <formula>$B41="Sat"</formula>
    </cfRule>
    <cfRule type="expression" dxfId="411" priority="1610" stopIfTrue="1">
      <formula>$B41="日"</formula>
    </cfRule>
    <cfRule type="expression" dxfId="410" priority="1611" stopIfTrue="1">
      <formula>$B41="Sun"</formula>
    </cfRule>
  </conditionalFormatting>
  <conditionalFormatting sqref="G13:I13">
    <cfRule type="expression" dxfId="409" priority="1605" stopIfTrue="1">
      <formula>$B13="Sat"</formula>
    </cfRule>
    <cfRule type="expression" dxfId="408" priority="1606" stopIfTrue="1">
      <formula>$B13="日"</formula>
    </cfRule>
    <cfRule type="expression" dxfId="407" priority="1607" stopIfTrue="1">
      <formula>$B13="Sun"</formula>
    </cfRule>
    <cfRule type="expression" dxfId="406" priority="1608" stopIfTrue="1">
      <formula>$B13="土"</formula>
    </cfRule>
  </conditionalFormatting>
  <conditionalFormatting sqref="G14:I14">
    <cfRule type="expression" dxfId="405" priority="1601" stopIfTrue="1">
      <formula>$B14="Sat"</formula>
    </cfRule>
    <cfRule type="expression" dxfId="404" priority="1602" stopIfTrue="1">
      <formula>$B14="日"</formula>
    </cfRule>
    <cfRule type="expression" dxfId="403" priority="1603" stopIfTrue="1">
      <formula>$B14="Sun"</formula>
    </cfRule>
    <cfRule type="expression" dxfId="402" priority="1604" stopIfTrue="1">
      <formula>$B14="土"</formula>
    </cfRule>
  </conditionalFormatting>
  <conditionalFormatting sqref="G16:I16">
    <cfRule type="expression" dxfId="401" priority="1597" stopIfTrue="1">
      <formula>$B16="日"</formula>
    </cfRule>
    <cfRule type="expression" dxfId="400" priority="1598" stopIfTrue="1">
      <formula>$B16="Sat"</formula>
    </cfRule>
    <cfRule type="expression" dxfId="399" priority="1599" stopIfTrue="1">
      <formula>$B16="Sun"</formula>
    </cfRule>
    <cfRule type="expression" dxfId="398" priority="1600" stopIfTrue="1">
      <formula>$B16="土"</formula>
    </cfRule>
  </conditionalFormatting>
  <conditionalFormatting sqref="H15:I15">
    <cfRule type="expression" dxfId="397" priority="1593" stopIfTrue="1">
      <formula>$B15="Sat"</formula>
    </cfRule>
    <cfRule type="expression" dxfId="396" priority="1594" stopIfTrue="1">
      <formula>$B15="日"</formula>
    </cfRule>
    <cfRule type="expression" dxfId="395" priority="1595" stopIfTrue="1">
      <formula>$B15="Sun"</formula>
    </cfRule>
    <cfRule type="expression" dxfId="394" priority="1596" stopIfTrue="1">
      <formula>$B15="土"</formula>
    </cfRule>
  </conditionalFormatting>
  <conditionalFormatting sqref="H16:I16">
    <cfRule type="expression" dxfId="393" priority="1589" stopIfTrue="1">
      <formula>$B16="Sat"</formula>
    </cfRule>
    <cfRule type="expression" dxfId="392" priority="1590" stopIfTrue="1">
      <formula>$B16="日"</formula>
    </cfRule>
    <cfRule type="expression" dxfId="391" priority="1591" stopIfTrue="1">
      <formula>$B16="Sun"</formula>
    </cfRule>
    <cfRule type="expression" dxfId="390" priority="1592" stopIfTrue="1">
      <formula>$B16="土"</formula>
    </cfRule>
  </conditionalFormatting>
  <conditionalFormatting sqref="H17:I17">
    <cfRule type="expression" dxfId="389" priority="1585" stopIfTrue="1">
      <formula>$B17="Sat"</formula>
    </cfRule>
    <cfRule type="expression" dxfId="388" priority="1586" stopIfTrue="1">
      <formula>$B17="日"</formula>
    </cfRule>
    <cfRule type="expression" dxfId="387" priority="1587" stopIfTrue="1">
      <formula>$B17="Sun"</formula>
    </cfRule>
    <cfRule type="expression" dxfId="386" priority="1588" stopIfTrue="1">
      <formula>$B17="土"</formula>
    </cfRule>
  </conditionalFormatting>
  <conditionalFormatting sqref="H18:I18">
    <cfRule type="expression" dxfId="385" priority="1581" stopIfTrue="1">
      <formula>$B18="Sat"</formula>
    </cfRule>
    <cfRule type="expression" dxfId="384" priority="1582" stopIfTrue="1">
      <formula>$B18="日"</formula>
    </cfRule>
    <cfRule type="expression" dxfId="383" priority="1583" stopIfTrue="1">
      <formula>$B18="Sun"</formula>
    </cfRule>
    <cfRule type="expression" dxfId="382" priority="1584" stopIfTrue="1">
      <formula>$B18="土"</formula>
    </cfRule>
  </conditionalFormatting>
  <conditionalFormatting sqref="H21:I21">
    <cfRule type="expression" dxfId="381" priority="1577" stopIfTrue="1">
      <formula>$B21="Sat"</formula>
    </cfRule>
    <cfRule type="expression" dxfId="380" priority="1578" stopIfTrue="1">
      <formula>$B21="日"</formula>
    </cfRule>
    <cfRule type="expression" dxfId="379" priority="1579" stopIfTrue="1">
      <formula>$B21="Sun"</formula>
    </cfRule>
    <cfRule type="expression" dxfId="378" priority="1580" stopIfTrue="1">
      <formula>$B21="土"</formula>
    </cfRule>
  </conditionalFormatting>
  <conditionalFormatting sqref="H22:I22">
    <cfRule type="expression" dxfId="377" priority="1573" stopIfTrue="1">
      <formula>$B22="Sat"</formula>
    </cfRule>
    <cfRule type="expression" dxfId="376" priority="1574" stopIfTrue="1">
      <formula>$B22="日"</formula>
    </cfRule>
    <cfRule type="expression" dxfId="375" priority="1575" stopIfTrue="1">
      <formula>$B22="Sun"</formula>
    </cfRule>
    <cfRule type="expression" dxfId="374" priority="1576" stopIfTrue="1">
      <formula>$B22="土"</formula>
    </cfRule>
  </conditionalFormatting>
  <conditionalFormatting sqref="H23:I23">
    <cfRule type="expression" dxfId="373" priority="1569" stopIfTrue="1">
      <formula>$B23="Sat"</formula>
    </cfRule>
    <cfRule type="expression" dxfId="372" priority="1570" stopIfTrue="1">
      <formula>$B23="日"</formula>
    </cfRule>
    <cfRule type="expression" dxfId="371" priority="1571" stopIfTrue="1">
      <formula>$B23="Sun"</formula>
    </cfRule>
    <cfRule type="expression" dxfId="370" priority="1572" stopIfTrue="1">
      <formula>$B23="土"</formula>
    </cfRule>
  </conditionalFormatting>
  <conditionalFormatting sqref="H24:I24">
    <cfRule type="expression" dxfId="369" priority="1565" stopIfTrue="1">
      <formula>$B24="Sat"</formula>
    </cfRule>
    <cfRule type="expression" dxfId="368" priority="1566" stopIfTrue="1">
      <formula>$B24="日"</formula>
    </cfRule>
    <cfRule type="expression" dxfId="367" priority="1567" stopIfTrue="1">
      <formula>$B24="Sun"</formula>
    </cfRule>
    <cfRule type="expression" dxfId="366" priority="1568" stopIfTrue="1">
      <formula>$B24="土"</formula>
    </cfRule>
  </conditionalFormatting>
  <conditionalFormatting sqref="H25:I25">
    <cfRule type="expression" dxfId="365" priority="1561" stopIfTrue="1">
      <formula>$B25="Sat"</formula>
    </cfRule>
    <cfRule type="expression" dxfId="364" priority="1562" stopIfTrue="1">
      <formula>$B25="日"</formula>
    </cfRule>
    <cfRule type="expression" dxfId="363" priority="1563" stopIfTrue="1">
      <formula>$B25="Sun"</formula>
    </cfRule>
    <cfRule type="expression" dxfId="362" priority="1564" stopIfTrue="1">
      <formula>$B25="土"</formula>
    </cfRule>
  </conditionalFormatting>
  <conditionalFormatting sqref="H28:I28">
    <cfRule type="expression" dxfId="361" priority="1557" stopIfTrue="1">
      <formula>$B28="Sat"</formula>
    </cfRule>
    <cfRule type="expression" dxfId="360" priority="1558" stopIfTrue="1">
      <formula>$B28="日"</formula>
    </cfRule>
    <cfRule type="expression" dxfId="359" priority="1559" stopIfTrue="1">
      <formula>$B28="Sun"</formula>
    </cfRule>
    <cfRule type="expression" dxfId="358" priority="1560" stopIfTrue="1">
      <formula>$B28="土"</formula>
    </cfRule>
  </conditionalFormatting>
  <conditionalFormatting sqref="H29:I29">
    <cfRule type="expression" dxfId="357" priority="1553" stopIfTrue="1">
      <formula>$B29="Sat"</formula>
    </cfRule>
    <cfRule type="expression" dxfId="356" priority="1554" stopIfTrue="1">
      <formula>$B29="日"</formula>
    </cfRule>
    <cfRule type="expression" dxfId="355" priority="1555" stopIfTrue="1">
      <formula>$B29="Sun"</formula>
    </cfRule>
    <cfRule type="expression" dxfId="354" priority="1556" stopIfTrue="1">
      <formula>$B29="土"</formula>
    </cfRule>
  </conditionalFormatting>
  <conditionalFormatting sqref="H30:I30">
    <cfRule type="expression" dxfId="353" priority="1549" stopIfTrue="1">
      <formula>$B30="Sat"</formula>
    </cfRule>
    <cfRule type="expression" dxfId="352" priority="1550" stopIfTrue="1">
      <formula>$B30="日"</formula>
    </cfRule>
    <cfRule type="expression" dxfId="351" priority="1551" stopIfTrue="1">
      <formula>$B30="Sun"</formula>
    </cfRule>
    <cfRule type="expression" dxfId="350" priority="1552" stopIfTrue="1">
      <formula>$B30="土"</formula>
    </cfRule>
  </conditionalFormatting>
  <conditionalFormatting sqref="H31:I31">
    <cfRule type="expression" dxfId="349" priority="1545" stopIfTrue="1">
      <formula>$B31="Sat"</formula>
    </cfRule>
    <cfRule type="expression" dxfId="348" priority="1546" stopIfTrue="1">
      <formula>$B31="日"</formula>
    </cfRule>
    <cfRule type="expression" dxfId="347" priority="1547" stopIfTrue="1">
      <formula>$B31="Sun"</formula>
    </cfRule>
    <cfRule type="expression" dxfId="346" priority="1548" stopIfTrue="1">
      <formula>$B31="土"</formula>
    </cfRule>
  </conditionalFormatting>
  <conditionalFormatting sqref="H32:I32">
    <cfRule type="expression" dxfId="345" priority="1541" stopIfTrue="1">
      <formula>$B32="Sat"</formula>
    </cfRule>
    <cfRule type="expression" dxfId="344" priority="1542" stopIfTrue="1">
      <formula>$B32="日"</formula>
    </cfRule>
    <cfRule type="expression" dxfId="343" priority="1543" stopIfTrue="1">
      <formula>$B32="Sun"</formula>
    </cfRule>
    <cfRule type="expression" dxfId="342" priority="1544" stopIfTrue="1">
      <formula>$B32="土"</formula>
    </cfRule>
  </conditionalFormatting>
  <conditionalFormatting sqref="H35:I35">
    <cfRule type="expression" dxfId="341" priority="1537" stopIfTrue="1">
      <formula>$B35="Sat"</formula>
    </cfRule>
    <cfRule type="expression" dxfId="340" priority="1538" stopIfTrue="1">
      <formula>$B35="日"</formula>
    </cfRule>
    <cfRule type="expression" dxfId="339" priority="1539" stopIfTrue="1">
      <formula>$B35="Sun"</formula>
    </cfRule>
    <cfRule type="expression" dxfId="338" priority="1540" stopIfTrue="1">
      <formula>$B35="土"</formula>
    </cfRule>
  </conditionalFormatting>
  <conditionalFormatting sqref="H36:I36">
    <cfRule type="expression" dxfId="337" priority="1533" stopIfTrue="1">
      <formula>$B36="Sat"</formula>
    </cfRule>
    <cfRule type="expression" dxfId="336" priority="1534" stopIfTrue="1">
      <formula>$B36="日"</formula>
    </cfRule>
    <cfRule type="expression" dxfId="335" priority="1535" stopIfTrue="1">
      <formula>$B36="Sun"</formula>
    </cfRule>
    <cfRule type="expression" dxfId="334" priority="1536" stopIfTrue="1">
      <formula>$B36="土"</formula>
    </cfRule>
  </conditionalFormatting>
  <conditionalFormatting sqref="H37:I37">
    <cfRule type="expression" dxfId="333" priority="1529" stopIfTrue="1">
      <formula>$B37="Sat"</formula>
    </cfRule>
    <cfRule type="expression" dxfId="332" priority="1530" stopIfTrue="1">
      <formula>$B37="日"</formula>
    </cfRule>
    <cfRule type="expression" dxfId="331" priority="1531" stopIfTrue="1">
      <formula>$B37="Sun"</formula>
    </cfRule>
    <cfRule type="expression" dxfId="330" priority="1532" stopIfTrue="1">
      <formula>$B37="土"</formula>
    </cfRule>
  </conditionalFormatting>
  <conditionalFormatting sqref="H38:I38">
    <cfRule type="expression" dxfId="329" priority="1525" stopIfTrue="1">
      <formula>$B38="Sat"</formula>
    </cfRule>
    <cfRule type="expression" dxfId="328" priority="1526" stopIfTrue="1">
      <formula>$B38="日"</formula>
    </cfRule>
    <cfRule type="expression" dxfId="327" priority="1527" stopIfTrue="1">
      <formula>$B38="Sun"</formula>
    </cfRule>
    <cfRule type="expression" dxfId="326" priority="1528" stopIfTrue="1">
      <formula>$B38="土"</formula>
    </cfRule>
  </conditionalFormatting>
  <conditionalFormatting sqref="H39:I39">
    <cfRule type="expression" dxfId="325" priority="1521" stopIfTrue="1">
      <formula>$B39="Sat"</formula>
    </cfRule>
    <cfRule type="expression" dxfId="324" priority="1522" stopIfTrue="1">
      <formula>$B39="日"</formula>
    </cfRule>
    <cfRule type="expression" dxfId="323" priority="1523" stopIfTrue="1">
      <formula>$B39="Sun"</formula>
    </cfRule>
    <cfRule type="expression" dxfId="322" priority="1524" stopIfTrue="1">
      <formula>$B39="土"</formula>
    </cfRule>
  </conditionalFormatting>
  <conditionalFormatting sqref="G12:I12">
    <cfRule type="expression" dxfId="321" priority="1520" stopIfTrue="1">
      <formula>$B12="土"</formula>
    </cfRule>
  </conditionalFormatting>
  <conditionalFormatting sqref="G12:I12">
    <cfRule type="expression" dxfId="320" priority="1517" stopIfTrue="1">
      <formula>$B12="Sat"</formula>
    </cfRule>
    <cfRule type="expression" dxfId="319" priority="1518" stopIfTrue="1">
      <formula>$B12="日"</formula>
    </cfRule>
    <cfRule type="expression" dxfId="318" priority="1519" stopIfTrue="1">
      <formula>$B12="Sun"</formula>
    </cfRule>
  </conditionalFormatting>
  <conditionalFormatting sqref="I39">
    <cfRule type="expression" dxfId="317" priority="1516" stopIfTrue="1">
      <formula>$B39="土"</formula>
    </cfRule>
  </conditionalFormatting>
  <conditionalFormatting sqref="I39">
    <cfRule type="expression" dxfId="316" priority="1513" stopIfTrue="1">
      <formula>$B39="Sat"</formula>
    </cfRule>
    <cfRule type="expression" dxfId="315" priority="1514" stopIfTrue="1">
      <formula>$B39="日"</formula>
    </cfRule>
    <cfRule type="expression" dxfId="314" priority="1515" stopIfTrue="1">
      <formula>$B39="Sun"</formula>
    </cfRule>
  </conditionalFormatting>
  <conditionalFormatting sqref="I39">
    <cfRule type="expression" dxfId="313" priority="1509" stopIfTrue="1">
      <formula>$B39="Sat"</formula>
    </cfRule>
    <cfRule type="expression" dxfId="312" priority="1510" stopIfTrue="1">
      <formula>$B39="日"</formula>
    </cfRule>
    <cfRule type="expression" dxfId="311" priority="1511" stopIfTrue="1">
      <formula>$B39="Sun"</formula>
    </cfRule>
    <cfRule type="expression" dxfId="310" priority="1512" stopIfTrue="1">
      <formula>$B39="土"</formula>
    </cfRule>
  </conditionalFormatting>
  <conditionalFormatting sqref="I40">
    <cfRule type="expression" dxfId="309" priority="1508" stopIfTrue="1">
      <formula>$B40="土"</formula>
    </cfRule>
  </conditionalFormatting>
  <conditionalFormatting sqref="I40">
    <cfRule type="expression" dxfId="308" priority="1505" stopIfTrue="1">
      <formula>$B40="Sat"</formula>
    </cfRule>
    <cfRule type="expression" dxfId="307" priority="1506" stopIfTrue="1">
      <formula>$B40="日"</formula>
    </cfRule>
    <cfRule type="expression" dxfId="306" priority="1507" stopIfTrue="1">
      <formula>$B40="Sun"</formula>
    </cfRule>
  </conditionalFormatting>
  <conditionalFormatting sqref="I40">
    <cfRule type="expression" dxfId="305" priority="1501" stopIfTrue="1">
      <formula>$B40="Sat"</formula>
    </cfRule>
    <cfRule type="expression" dxfId="304" priority="1502" stopIfTrue="1">
      <formula>$B40="日"</formula>
    </cfRule>
    <cfRule type="expression" dxfId="303" priority="1503" stopIfTrue="1">
      <formula>$B40="Sun"</formula>
    </cfRule>
    <cfRule type="expression" dxfId="302" priority="1504" stopIfTrue="1">
      <formula>$B40="土"</formula>
    </cfRule>
  </conditionalFormatting>
  <conditionalFormatting sqref="I41">
    <cfRule type="expression" dxfId="301" priority="1500" stopIfTrue="1">
      <formula>$B41="土"</formula>
    </cfRule>
  </conditionalFormatting>
  <conditionalFormatting sqref="I41">
    <cfRule type="expression" dxfId="300" priority="1497" stopIfTrue="1">
      <formula>$B41="Sat"</formula>
    </cfRule>
    <cfRule type="expression" dxfId="299" priority="1498" stopIfTrue="1">
      <formula>$B41="日"</formula>
    </cfRule>
    <cfRule type="expression" dxfId="298" priority="1499" stopIfTrue="1">
      <formula>$B41="Sun"</formula>
    </cfRule>
  </conditionalFormatting>
  <conditionalFormatting sqref="I41">
    <cfRule type="expression" dxfId="297" priority="1493" stopIfTrue="1">
      <formula>$B41="Sat"</formula>
    </cfRule>
    <cfRule type="expression" dxfId="296" priority="1494" stopIfTrue="1">
      <formula>$B41="日"</formula>
    </cfRule>
    <cfRule type="expression" dxfId="295" priority="1495" stopIfTrue="1">
      <formula>$B41="Sun"</formula>
    </cfRule>
    <cfRule type="expression" dxfId="294" priority="1496" stopIfTrue="1">
      <formula>$B41="土"</formula>
    </cfRule>
  </conditionalFormatting>
  <conditionalFormatting sqref="H24">
    <cfRule type="expression" dxfId="293" priority="64" stopIfTrue="1">
      <formula>$B24="土"</formula>
    </cfRule>
  </conditionalFormatting>
  <conditionalFormatting sqref="H24">
    <cfRule type="expression" dxfId="292" priority="61" stopIfTrue="1">
      <formula>$B24="Sat"</formula>
    </cfRule>
    <cfRule type="expression" dxfId="291" priority="62" stopIfTrue="1">
      <formula>$B24="日"</formula>
    </cfRule>
    <cfRule type="expression" dxfId="290" priority="63" stopIfTrue="1">
      <formula>$B24="Sun"</formula>
    </cfRule>
  </conditionalFormatting>
  <conditionalFormatting sqref="H24">
    <cfRule type="expression" dxfId="289" priority="57" stopIfTrue="1">
      <formula>$B24="Sat"</formula>
    </cfRule>
    <cfRule type="expression" dxfId="288" priority="58" stopIfTrue="1">
      <formula>$B24="日"</formula>
    </cfRule>
    <cfRule type="expression" dxfId="287" priority="59" stopIfTrue="1">
      <formula>$B24="Sun"</formula>
    </cfRule>
    <cfRule type="expression" dxfId="286" priority="60" stopIfTrue="1">
      <formula>$B24="土"</formula>
    </cfRule>
  </conditionalFormatting>
  <conditionalFormatting sqref="I17">
    <cfRule type="expression" dxfId="285" priority="53" stopIfTrue="1">
      <formula>$B17="日"</formula>
    </cfRule>
    <cfRule type="expression" dxfId="284" priority="54" stopIfTrue="1">
      <formula>$B17="Sat"</formula>
    </cfRule>
    <cfRule type="expression" dxfId="283" priority="55" stopIfTrue="1">
      <formula>$B17="Sun"</formula>
    </cfRule>
    <cfRule type="expression" dxfId="282" priority="56" stopIfTrue="1">
      <formula>$B17="土"</formula>
    </cfRule>
  </conditionalFormatting>
  <conditionalFormatting sqref="I17">
    <cfRule type="expression" dxfId="281" priority="49" stopIfTrue="1">
      <formula>$B17="Sat"</formula>
    </cfRule>
    <cfRule type="expression" dxfId="280" priority="50" stopIfTrue="1">
      <formula>$B17="日"</formula>
    </cfRule>
    <cfRule type="expression" dxfId="279" priority="51" stopIfTrue="1">
      <formula>$B17="Sun"</formula>
    </cfRule>
    <cfRule type="expression" dxfId="278" priority="52" stopIfTrue="1">
      <formula>$B17="土"</formula>
    </cfRule>
  </conditionalFormatting>
  <conditionalFormatting sqref="I18">
    <cfRule type="expression" dxfId="277" priority="45" stopIfTrue="1">
      <formula>$B18="日"</formula>
    </cfRule>
    <cfRule type="expression" dxfId="276" priority="46" stopIfTrue="1">
      <formula>$B18="Sat"</formula>
    </cfRule>
    <cfRule type="expression" dxfId="275" priority="47" stopIfTrue="1">
      <formula>$B18="Sun"</formula>
    </cfRule>
    <cfRule type="expression" dxfId="274" priority="48" stopIfTrue="1">
      <formula>$B18="土"</formula>
    </cfRule>
  </conditionalFormatting>
  <conditionalFormatting sqref="I18">
    <cfRule type="expression" dxfId="273" priority="41" stopIfTrue="1">
      <formula>$B18="Sat"</formula>
    </cfRule>
    <cfRule type="expression" dxfId="272" priority="42" stopIfTrue="1">
      <formula>$B18="日"</formula>
    </cfRule>
    <cfRule type="expression" dxfId="271" priority="43" stopIfTrue="1">
      <formula>$B18="Sun"</formula>
    </cfRule>
    <cfRule type="expression" dxfId="270" priority="44" stopIfTrue="1">
      <formula>$B18="土"</formula>
    </cfRule>
  </conditionalFormatting>
  <conditionalFormatting sqref="I19">
    <cfRule type="expression" dxfId="269" priority="37" stopIfTrue="1">
      <formula>$B19="日"</formula>
    </cfRule>
    <cfRule type="expression" dxfId="268" priority="38" stopIfTrue="1">
      <formula>$B19="Sat"</formula>
    </cfRule>
    <cfRule type="expression" dxfId="267" priority="39" stopIfTrue="1">
      <formula>$B19="Sun"</formula>
    </cfRule>
    <cfRule type="expression" dxfId="266" priority="40" stopIfTrue="1">
      <formula>$B19="土"</formula>
    </cfRule>
  </conditionalFormatting>
  <conditionalFormatting sqref="I19">
    <cfRule type="expression" dxfId="265" priority="33" stopIfTrue="1">
      <formula>$B19="Sat"</formula>
    </cfRule>
    <cfRule type="expression" dxfId="264" priority="34" stopIfTrue="1">
      <formula>$B19="日"</formula>
    </cfRule>
    <cfRule type="expression" dxfId="263" priority="35" stopIfTrue="1">
      <formula>$B19="Sun"</formula>
    </cfRule>
    <cfRule type="expression" dxfId="262" priority="36" stopIfTrue="1">
      <formula>$B19="土"</formula>
    </cfRule>
  </conditionalFormatting>
  <conditionalFormatting sqref="I28">
    <cfRule type="expression" dxfId="261" priority="32" stopIfTrue="1">
      <formula>$B28="土"</formula>
    </cfRule>
  </conditionalFormatting>
  <conditionalFormatting sqref="I28">
    <cfRule type="expression" dxfId="260" priority="29" stopIfTrue="1">
      <formula>$B28="Sat"</formula>
    </cfRule>
    <cfRule type="expression" dxfId="259" priority="30" stopIfTrue="1">
      <formula>$B28="日"</formula>
    </cfRule>
    <cfRule type="expression" dxfId="258" priority="31" stopIfTrue="1">
      <formula>$B28="Sun"</formula>
    </cfRule>
  </conditionalFormatting>
  <conditionalFormatting sqref="I27">
    <cfRule type="expression" dxfId="257" priority="28" stopIfTrue="1">
      <formula>$B27="土"</formula>
    </cfRule>
  </conditionalFormatting>
  <conditionalFormatting sqref="I27">
    <cfRule type="expression" dxfId="256" priority="25" stopIfTrue="1">
      <formula>$B27="Sat"</formula>
    </cfRule>
    <cfRule type="expression" dxfId="255" priority="26" stopIfTrue="1">
      <formula>$B27="日"</formula>
    </cfRule>
    <cfRule type="expression" dxfId="254" priority="27" stopIfTrue="1">
      <formula>$B27="Sun"</formula>
    </cfRule>
  </conditionalFormatting>
  <conditionalFormatting sqref="I30">
    <cfRule type="expression" dxfId="253" priority="24" stopIfTrue="1">
      <formula>$B30="土"</formula>
    </cfRule>
  </conditionalFormatting>
  <conditionalFormatting sqref="I30">
    <cfRule type="expression" dxfId="252" priority="21" stopIfTrue="1">
      <formula>$B30="Sat"</formula>
    </cfRule>
    <cfRule type="expression" dxfId="251" priority="22" stopIfTrue="1">
      <formula>$B30="日"</formula>
    </cfRule>
    <cfRule type="expression" dxfId="250" priority="23" stopIfTrue="1">
      <formula>$B30="Sun"</formula>
    </cfRule>
  </conditionalFormatting>
  <conditionalFormatting sqref="I33">
    <cfRule type="expression" dxfId="249" priority="20" stopIfTrue="1">
      <formula>$B33="土"</formula>
    </cfRule>
  </conditionalFormatting>
  <conditionalFormatting sqref="I33">
    <cfRule type="expression" dxfId="248" priority="17" stopIfTrue="1">
      <formula>$B33="Sat"</formula>
    </cfRule>
    <cfRule type="expression" dxfId="247" priority="18" stopIfTrue="1">
      <formula>$B33="日"</formula>
    </cfRule>
    <cfRule type="expression" dxfId="246" priority="19" stopIfTrue="1">
      <formula>$B33="Sun"</formula>
    </cfRule>
  </conditionalFormatting>
  <conditionalFormatting sqref="I34">
    <cfRule type="expression" dxfId="245" priority="16" stopIfTrue="1">
      <formula>$B34="土"</formula>
    </cfRule>
  </conditionalFormatting>
  <conditionalFormatting sqref="I34">
    <cfRule type="expression" dxfId="244" priority="13" stopIfTrue="1">
      <formula>$B34="Sat"</formula>
    </cfRule>
    <cfRule type="expression" dxfId="243" priority="14" stopIfTrue="1">
      <formula>$B34="日"</formula>
    </cfRule>
    <cfRule type="expression" dxfId="242" priority="15" stopIfTrue="1">
      <formula>$B34="Sun"</formula>
    </cfRule>
  </conditionalFormatting>
  <conditionalFormatting sqref="I35">
    <cfRule type="expression" dxfId="241" priority="12" stopIfTrue="1">
      <formula>$B35="土"</formula>
    </cfRule>
  </conditionalFormatting>
  <conditionalFormatting sqref="I35">
    <cfRule type="expression" dxfId="240" priority="9" stopIfTrue="1">
      <formula>$B35="Sat"</formula>
    </cfRule>
    <cfRule type="expression" dxfId="239" priority="10" stopIfTrue="1">
      <formula>$B35="日"</formula>
    </cfRule>
    <cfRule type="expression" dxfId="238" priority="11" stopIfTrue="1">
      <formula>$B35="Sun"</formula>
    </cfRule>
  </conditionalFormatting>
  <conditionalFormatting sqref="I36">
    <cfRule type="expression" dxfId="237" priority="8" stopIfTrue="1">
      <formula>$B36="土"</formula>
    </cfRule>
  </conditionalFormatting>
  <conditionalFormatting sqref="I36">
    <cfRule type="expression" dxfId="236" priority="5" stopIfTrue="1">
      <formula>$B36="Sat"</formula>
    </cfRule>
    <cfRule type="expression" dxfId="235" priority="6" stopIfTrue="1">
      <formula>$B36="日"</formula>
    </cfRule>
    <cfRule type="expression" dxfId="234" priority="7" stopIfTrue="1">
      <formula>$B36="Sun"</formula>
    </cfRule>
  </conditionalFormatting>
  <conditionalFormatting sqref="I37">
    <cfRule type="expression" dxfId="233" priority="4" stopIfTrue="1">
      <formula>$B37="土"</formula>
    </cfRule>
  </conditionalFormatting>
  <conditionalFormatting sqref="I37">
    <cfRule type="expression" dxfId="232" priority="1" stopIfTrue="1">
      <formula>$B37="Sat"</formula>
    </cfRule>
    <cfRule type="expression" dxfId="231" priority="2" stopIfTrue="1">
      <formula>$B37="日"</formula>
    </cfRule>
    <cfRule type="expression" dxfId="230" priority="3" stopIfTrue="1">
      <formula>$B37="Sun"</formula>
    </cfRule>
  </conditionalFormatting>
  <dataValidations count="12">
    <dataValidation type="time" imeMode="disabled" allowBlank="1" showErrorMessage="1" errorTitle="Invalid hour" error="Please input valid working hour in [h]:mm format!" sqref="R7:R8">
      <formula1>0.0104166666666667</formula1>
      <formula2>0.989583333333333</formula2>
    </dataValidation>
    <dataValidation type="list" allowBlank="1" showInputMessage="1" showErrorMessage="1" sqref="C11:C41">
      <formula1>$V$11:$V$12</formula1>
    </dataValidation>
    <dataValidation type="time" imeMode="disabled" allowBlank="1" showErrorMessage="1" errorTitle="Break time input error" error="Please input in h:mm format, e.g &quot;1:15&quot;!" sqref="F11:F41">
      <formula1>0</formula1>
      <formula2>0.999305555555556</formula2>
    </dataValidation>
    <dataValidation type="time" allowBlank="1" showErrorMessage="1" errorTitle="Leave time input error" error="Please input in h:mm format, e.g &quot;4:00&quot;!" sqref="G42:I42">
      <formula1>0</formula1>
      <formula2>0.999305555555556</formula2>
    </dataValidation>
    <dataValidation type="time" allowBlank="1" showErrorMessage="1" errorTitle="Break time input error" error="Please input in h:mm format, e.g &quot;1:15&quot;!" sqref="F42">
      <formula1>0</formula1>
      <formula2>0.999305555555556</formula2>
    </dataValidation>
    <dataValidation type="whole" imeMode="off" allowBlank="1" showErrorMessage="1" errorTitle="Invalid day" error="Please input day!" sqref="S7 D7">
      <formula1>1</formula1>
      <formula2>31</formula2>
    </dataValidation>
    <dataValidation type="whole" imeMode="off" allowBlank="1" showErrorMessage="1" errorTitle="Invalid month" error="Please input month here!" sqref="T7 E7">
      <formula1>1</formula1>
      <formula2>12</formula2>
    </dataValidation>
    <dataValidation type="whole" imeMode="off" allowBlank="1" showErrorMessage="1" errorTitle="Invalid input" error="Please input year in yyyy format!" sqref="U7 F7">
      <formula1>1970</formula1>
      <formula2>9999</formula2>
    </dataValidation>
    <dataValidation type="list" allowBlank="1" showInputMessage="1" showErrorMessage="1" sqref="D8:F8">
      <formula1>"Ukeoi, Haken, HeadOffice"</formula1>
    </dataValidation>
    <dataValidation type="time" allowBlank="1" showInputMessage="1" showErrorMessage="1" sqref="G11:I41">
      <formula1>0</formula1>
      <formula2>0.999305555555556</formula2>
    </dataValidation>
    <dataValidation type="time" imeMode="disabled" allowBlank="1" showErrorMessage="1" errorTitle="Out time input error" error="Please input in h:mm format, e.g &quot;17:45&quot;! Available value: 0:00 ~ 23:59. Please input &quot;0:00&quot; for &quot;24:00&quot;, &quot;1:00&quot; for &quot;25:00&quot; in colunm [退社]" sqref="E11:E41">
      <formula1>0</formula1>
      <formula2>0.999305555555556</formula2>
    </dataValidation>
    <dataValidation type="time" allowBlank="1" showErrorMessage="1" errorTitle="In time input error" error="Please input in h:mm format, e.g &quot;9:00&quot;. Available value: 6:00 ~ 23:59." sqref="D11:D41">
      <formula1>0</formula1>
      <formula2>0.999305555555556</formula2>
    </dataValidation>
  </dataValidations>
  <printOptions horizontalCentered="1"/>
  <pageMargins left="0.6692913385826772" right="0.39370078740157483" top="1.1811023622047245" bottom="0.98425196850393704" header="0.51181102362204722" footer="0.51181102362204722"/>
  <pageSetup paperSize="9" scale="79" orientation="portrait" r:id="rId1"/>
  <headerFooter alignWithMargins="0">
    <oddHeader>&amp;L&amp;"Arial Black,Regular"&amp;10FPT Japan Co., Ltd.&amp;R&amp;"Arial Narrow,Regular"&amp;8Tokyo Tatemono Gotanda Building 8F
Higashi Gotanda 1-6-3
Shinagawa-ku, Tokyo 141-0022</oddHeader>
    <oddFooter>&amp;L40-j/BM/NS/HDCV/FJP&amp;CCONFIDENTIAL / 秘&amp;R&amp;P/&amp;N</oddFooter>
  </headerFooter>
  <ignoredErrors>
    <ignoredError sqref="L12" formula="1"/>
  </ignoredErrors>
  <legacyDrawing r:id="rId2"/>
</worksheet>
</file>

<file path=xl/worksheets/sheet2.xml><?xml version="1.0" encoding="utf-8"?>
<worksheet xmlns="http://schemas.openxmlformats.org/spreadsheetml/2006/main" xmlns:r="http://schemas.openxmlformats.org/officeDocument/2006/relationships">
  <sheetPr codeName="Sheet6">
    <tabColor rgb="FF00B050"/>
    <pageSetUpPr fitToPage="1"/>
  </sheetPr>
  <dimension ref="A1:AK69"/>
  <sheetViews>
    <sheetView zoomScaleNormal="100" workbookViewId="0">
      <selection activeCell="R6" sqref="R6"/>
    </sheetView>
  </sheetViews>
  <sheetFormatPr defaultRowHeight="13.5" outlineLevelCol="1"/>
  <cols>
    <col min="1" max="1" width="6.625" style="8" customWidth="1"/>
    <col min="2" max="2" width="4.625" style="8" customWidth="1"/>
    <col min="3" max="14" width="5.625" style="8" customWidth="1"/>
    <col min="15" max="15" width="5.375" style="8" customWidth="1"/>
    <col min="16" max="16" width="5.625" style="8" customWidth="1"/>
    <col min="17" max="17" width="6.875" style="8" customWidth="1"/>
    <col min="18" max="18" width="20.25" style="8" customWidth="1"/>
    <col min="19" max="22" width="6.125" style="9" hidden="1" customWidth="1" outlineLevel="1"/>
    <col min="23" max="23" width="3.625" style="8" hidden="1" customWidth="1" outlineLevel="1"/>
    <col min="24" max="24" width="6.5" style="10" hidden="1" customWidth="1" outlineLevel="1"/>
    <col min="25" max="25" width="9" style="10" collapsed="1"/>
    <col min="26" max="26" width="9" style="10"/>
    <col min="27" max="27" width="11.625" style="10" bestFit="1" customWidth="1"/>
    <col min="28" max="37" width="9" style="10"/>
    <col min="38" max="16384" width="9" style="8"/>
  </cols>
  <sheetData>
    <row r="1" spans="1:37" s="4" customFormat="1" ht="18.75">
      <c r="L1" s="5" t="s">
        <v>9</v>
      </c>
      <c r="S1" s="6"/>
      <c r="T1" s="6"/>
      <c r="U1" s="6"/>
      <c r="V1" s="6"/>
    </row>
    <row r="2" spans="1:37" s="4" customFormat="1" ht="18">
      <c r="L2" s="7" t="s">
        <v>10</v>
      </c>
      <c r="S2" s="6"/>
      <c r="T2" s="6"/>
      <c r="U2" s="6"/>
      <c r="V2" s="6"/>
    </row>
    <row r="3" spans="1:37" s="150" customFormat="1" ht="10.5" customHeight="1">
      <c r="L3" s="154"/>
      <c r="S3" s="155"/>
      <c r="T3" s="155"/>
      <c r="U3" s="155"/>
      <c r="V3" s="155"/>
      <c r="X3" s="153"/>
      <c r="Y3" s="153"/>
      <c r="Z3" s="153"/>
      <c r="AA3" s="153"/>
      <c r="AB3" s="153"/>
      <c r="AC3" s="153"/>
      <c r="AD3" s="153"/>
      <c r="AE3" s="153"/>
      <c r="AF3" s="153"/>
      <c r="AG3" s="153"/>
      <c r="AH3" s="153"/>
      <c r="AI3" s="153"/>
      <c r="AJ3" s="153"/>
      <c r="AK3" s="153"/>
    </row>
    <row r="4" spans="1:37" s="150" customFormat="1" ht="14.25" customHeight="1">
      <c r="A4" s="157" t="s">
        <v>110</v>
      </c>
      <c r="B4" s="158"/>
      <c r="C4" s="159"/>
      <c r="D4" s="268" t="s">
        <v>160</v>
      </c>
      <c r="E4" s="268"/>
      <c r="F4" s="268"/>
      <c r="L4" s="151"/>
      <c r="M4" s="162" t="s">
        <v>17</v>
      </c>
      <c r="N4" s="158"/>
      <c r="O4" s="158"/>
      <c r="P4" s="158"/>
      <c r="Q4" s="158"/>
      <c r="R4" s="194" t="s">
        <v>194</v>
      </c>
      <c r="S4" s="156"/>
      <c r="T4" s="156"/>
      <c r="U4" s="156"/>
      <c r="V4" s="156"/>
      <c r="X4" s="153"/>
      <c r="Y4" s="153"/>
      <c r="Z4" s="153"/>
      <c r="AA4" s="153"/>
      <c r="AB4" s="153"/>
      <c r="AC4" s="153"/>
      <c r="AD4" s="153"/>
      <c r="AE4" s="153"/>
      <c r="AF4" s="153"/>
      <c r="AG4" s="153"/>
      <c r="AH4" s="153"/>
      <c r="AI4" s="153"/>
      <c r="AJ4" s="153"/>
      <c r="AK4" s="153"/>
    </row>
    <row r="5" spans="1:37" ht="14.25" customHeight="1">
      <c r="A5" s="160" t="s">
        <v>111</v>
      </c>
      <c r="B5" s="158"/>
      <c r="C5" s="159"/>
      <c r="D5" s="269" t="s">
        <v>193</v>
      </c>
      <c r="E5" s="269"/>
      <c r="F5" s="269"/>
      <c r="L5" s="12"/>
      <c r="M5" s="162" t="s">
        <v>2</v>
      </c>
      <c r="N5" s="158"/>
      <c r="O5" s="158"/>
      <c r="P5" s="158"/>
      <c r="Q5" s="158"/>
      <c r="R5" s="195" t="s">
        <v>195</v>
      </c>
      <c r="S5" s="1"/>
      <c r="T5" s="1"/>
      <c r="U5" s="1"/>
      <c r="V5" s="1"/>
    </row>
    <row r="6" spans="1:37" s="150" customFormat="1" ht="14.25" customHeight="1">
      <c r="A6" s="160" t="s">
        <v>112</v>
      </c>
      <c r="B6" s="158"/>
      <c r="C6" s="159"/>
      <c r="D6" s="269"/>
      <c r="E6" s="269"/>
      <c r="F6" s="269"/>
      <c r="L6" s="152"/>
      <c r="M6" s="162" t="s">
        <v>43</v>
      </c>
      <c r="N6" s="158"/>
      <c r="O6" s="158"/>
      <c r="P6" s="158"/>
      <c r="Q6" s="158"/>
      <c r="R6" s="185" t="str">
        <f>IF(E7&lt;10,F7&amp;"/0"&amp;E7,F7&amp;"/"&amp;E7)</f>
        <v>2014/01</v>
      </c>
      <c r="S6" s="149">
        <f>MONTH(DATE($F$7,$E$7,$D$7)+30)</f>
        <v>1</v>
      </c>
      <c r="T6" s="149">
        <f>MONTH(DATE($F$7,$E$7,$D$7)+29)</f>
        <v>1</v>
      </c>
      <c r="U6" s="149">
        <f>MONTH(DATE($F$7,$E$7,$D$7)+28)</f>
        <v>1</v>
      </c>
      <c r="V6" s="149">
        <f>MONTH(DATE($F$7,$E$7,$D$7)+27)</f>
        <v>1</v>
      </c>
      <c r="X6" s="153"/>
      <c r="Y6" s="153"/>
      <c r="Z6" s="153"/>
      <c r="AA6" s="153"/>
      <c r="AB6" s="153"/>
      <c r="AC6" s="153"/>
      <c r="AD6" s="153"/>
      <c r="AE6" s="153"/>
      <c r="AF6" s="153"/>
      <c r="AG6" s="153"/>
      <c r="AH6" s="153"/>
      <c r="AI6" s="153"/>
      <c r="AJ6" s="153"/>
      <c r="AK6" s="153"/>
    </row>
    <row r="7" spans="1:37" ht="14.25" customHeight="1">
      <c r="A7" s="160" t="s">
        <v>113</v>
      </c>
      <c r="B7" s="158"/>
      <c r="C7" s="158"/>
      <c r="D7" s="184">
        <v>1</v>
      </c>
      <c r="E7" s="184">
        <v>1</v>
      </c>
      <c r="F7" s="184">
        <v>2014</v>
      </c>
      <c r="G7" s="14"/>
      <c r="H7" s="14"/>
      <c r="I7" s="14"/>
      <c r="J7" s="13"/>
      <c r="K7" s="13"/>
      <c r="L7" s="13"/>
      <c r="M7" s="163" t="s">
        <v>64</v>
      </c>
      <c r="N7" s="158"/>
      <c r="O7" s="164"/>
      <c r="P7" s="158"/>
      <c r="Q7" s="158"/>
      <c r="R7" s="193">
        <v>0.33333333333333331</v>
      </c>
      <c r="S7" s="3">
        <f>IF(D7=1,IF(S6&gt;E7,IF(T6&gt;E7,IF(U6&gt;E7,IF(V6&gt;E7,"",D7+27),D7+28),D7+29),D7+30),D7-1)</f>
        <v>31</v>
      </c>
      <c r="T7" s="3">
        <f>IF(D7&lt;S7,E7,IF(E7+1&gt;12,E7-11,E7+1))</f>
        <v>1</v>
      </c>
      <c r="U7" s="3">
        <f>IF(E7&gt;T7,F7+1,F7)</f>
        <v>2014</v>
      </c>
    </row>
    <row r="8" spans="1:37" ht="14.25" customHeight="1">
      <c r="A8" s="160" t="s">
        <v>114</v>
      </c>
      <c r="B8" s="161"/>
      <c r="C8" s="161"/>
      <c r="D8" s="281" t="s">
        <v>116</v>
      </c>
      <c r="E8" s="281"/>
      <c r="F8" s="281"/>
      <c r="G8" s="14"/>
      <c r="H8" s="14"/>
      <c r="I8" s="14"/>
      <c r="J8" s="66"/>
      <c r="K8" s="13"/>
      <c r="L8" s="13"/>
      <c r="M8" s="165" t="s">
        <v>44</v>
      </c>
      <c r="N8" s="161"/>
      <c r="O8" s="166"/>
      <c r="P8" s="161"/>
      <c r="Q8" s="161"/>
      <c r="R8" s="186">
        <v>4.1666666666666664E-2</v>
      </c>
      <c r="S8" s="13"/>
      <c r="T8" s="13"/>
      <c r="U8" s="13"/>
      <c r="V8" s="13"/>
    </row>
    <row r="9" spans="1:37" ht="14.25" thickBot="1">
      <c r="S9" s="15"/>
    </row>
    <row r="10" spans="1:37" s="29" customFormat="1" ht="63.75" customHeight="1" thickTop="1">
      <c r="A10" s="39" t="s">
        <v>0</v>
      </c>
      <c r="B10" s="40" t="s">
        <v>1</v>
      </c>
      <c r="C10" s="106" t="s">
        <v>18</v>
      </c>
      <c r="D10" s="107" t="s">
        <v>11</v>
      </c>
      <c r="E10" s="107" t="s">
        <v>19</v>
      </c>
      <c r="F10" s="107" t="s">
        <v>20</v>
      </c>
      <c r="G10" s="107" t="s">
        <v>21</v>
      </c>
      <c r="H10" s="107" t="s">
        <v>22</v>
      </c>
      <c r="I10" s="107" t="s">
        <v>23</v>
      </c>
      <c r="J10" s="41" t="s">
        <v>24</v>
      </c>
      <c r="K10" s="41" t="s">
        <v>25</v>
      </c>
      <c r="L10" s="41" t="s">
        <v>26</v>
      </c>
      <c r="M10" s="41" t="s">
        <v>27</v>
      </c>
      <c r="N10" s="41" t="s">
        <v>28</v>
      </c>
      <c r="O10" s="41" t="s">
        <v>29</v>
      </c>
      <c r="P10" s="41" t="s">
        <v>30</v>
      </c>
      <c r="Q10" s="106" t="s">
        <v>31</v>
      </c>
      <c r="R10" s="108" t="s">
        <v>32</v>
      </c>
      <c r="S10" s="27" t="s">
        <v>7</v>
      </c>
      <c r="T10" s="28"/>
      <c r="U10" s="28"/>
      <c r="V10" s="28"/>
      <c r="X10" s="138">
        <f ca="1">TODAY()</f>
        <v>42072</v>
      </c>
      <c r="Y10" s="30"/>
      <c r="Z10" s="30"/>
      <c r="AA10" s="138"/>
      <c r="AB10" s="30"/>
      <c r="AC10" s="30"/>
      <c r="AD10" s="30"/>
      <c r="AE10" s="30"/>
      <c r="AF10" s="30"/>
      <c r="AG10" s="30"/>
      <c r="AH10" s="30"/>
      <c r="AI10" s="30"/>
      <c r="AJ10" s="30"/>
      <c r="AK10" s="30"/>
    </row>
    <row r="11" spans="1:37" s="26" customFormat="1" ht="12">
      <c r="A11" s="187">
        <f>DATE(F7,E7,D7)</f>
        <v>41640</v>
      </c>
      <c r="B11" s="188" t="str">
        <f t="shared" ref="B11:B41" si="0">TEXT(A11,"aaa")</f>
        <v>水</v>
      </c>
      <c r="C11" s="189" t="s">
        <v>104</v>
      </c>
      <c r="D11" s="190"/>
      <c r="E11" s="190"/>
      <c r="F11" s="190"/>
      <c r="G11" s="190"/>
      <c r="H11" s="190"/>
      <c r="I11" s="190"/>
      <c r="J11" s="191" t="str">
        <f t="shared" ref="J11:J41" si="1">IF(COUNT(D11,E11)=2,IF(E11&gt;D11,IF(E11&gt;D11+F11,E11-D11-F11,""),(TIME(23,0,0)+TIME(1,0,0)+E11-D11-F11)),"")</f>
        <v/>
      </c>
      <c r="K11" s="191" t="str">
        <f t="shared" ref="K11:K41" si="2">IF(COUNT(J11)=1,J11+G11,IF(COUNT(G11)=1,G11,""))</f>
        <v/>
      </c>
      <c r="L11" s="191" t="str">
        <f>IF(AND(S11=TRUE,COUNT(K11)=1), IF( $R$7&gt;K11+H11+I11, CEILING($R$7-K11-H11-I11,"0:15"), ""), IF( AND(S11=TRUE,COUNT(K11)&lt;1),  IF( $R$7&gt;H11+I11,CEILING($R$7-H11-I11,"0:15"), ""), "") )</f>
        <v/>
      </c>
      <c r="M11" s="191" t="str">
        <f t="shared" ref="M11:M41" si="3">IF(AND(S11=TRUE,COUNT(K11)=1),IF(K11+H11+I11&gt;$R$7,IF(FLOOR(K11+H11+I11-$R$7+TIME(0,0,1),"0:15")&gt;TIME(13,30,0),ERROR.TYPE(""), IF(FLOOR(K11+H11+I11-$R$7+TIME(0,0,1),"0:15")&gt;0,FLOOR(K11+H11+I11-$R$7+TIME(0,0,1),"0:15"),"")      ),""),"")</f>
        <v/>
      </c>
      <c r="N11" s="191" t="str">
        <f t="shared" ref="N11:N41" si="4">IF(AND(S11=TRUE,COUNT(D11,E11)=2),IF(E11&gt;TIME(23,0,0),FLOOR(E11-TIME(23,0,0)+TIME(0,0,1),"0:15"),IF(E11&lt;D11,MIN(FLOOR(E11+TIME(0,0,1),"0:15")+TIME(1,0,0),TIME(7,0,0)),"")),"")</f>
        <v/>
      </c>
      <c r="O11" s="191" t="str">
        <f t="shared" ref="O11:O41" si="5">IF(AND(OR(B11="土",B11="Sat",C11="*"),(COUNT(J11)=1)),IF(Q11="",J11,IF(J11&gt;Q11,J11-Q11,IF(J11=Q11,"",ERROR.TYPE("")))),"")</f>
        <v/>
      </c>
      <c r="P11" s="191" t="str">
        <f t="shared" ref="P11:P41" si="6">IF(AND(OR(B11="日",B11="Sun"),COUNT(J11)=1),IF(Q11="",J11,IF(J11&gt;Q11,J11-Q11,IF(J11=Q11,"",ERROR.TYPE("")))),"")</f>
        <v/>
      </c>
      <c r="Q11" s="190"/>
      <c r="R11" s="192" t="s">
        <v>183</v>
      </c>
      <c r="S11" s="25" t="b">
        <f>NOT(OR(A11="",B11="土",B11="日",B11="Sat",B11="Sun",C11="*"))</f>
        <v>0</v>
      </c>
      <c r="T11" s="55"/>
      <c r="U11" s="54"/>
      <c r="V11" s="42" t="s">
        <v>8</v>
      </c>
      <c r="W11" s="26" t="str">
        <f>IF(OR(H11&lt;&gt;"",M11&lt;&gt;"",N11&lt;&gt;"",O11&lt;&gt;"",P11&lt;&gt;"",Q11&lt;&gt;""),"OT","")</f>
        <v/>
      </c>
      <c r="X11" s="26" t="str">
        <f>IF(AND(OR(H11&lt;&gt;"",I11&lt;&gt;"",K11="",K11&lt;$R$7),S11=TRUE),TRUE,"")</f>
        <v/>
      </c>
      <c r="AA11" s="137"/>
    </row>
    <row r="12" spans="1:37" s="147" customFormat="1" ht="12">
      <c r="A12" s="187">
        <f t="shared" ref="A12:A41" si="7">IF(A11&lt;DATE($U$7,$T$7,$S$7),A11+1,"")</f>
        <v>41641</v>
      </c>
      <c r="B12" s="188" t="str">
        <f>TEXT(A12,"aaa")</f>
        <v>木</v>
      </c>
      <c r="C12" s="189" t="s">
        <v>104</v>
      </c>
      <c r="D12" s="190"/>
      <c r="E12" s="190"/>
      <c r="F12" s="190"/>
      <c r="G12" s="250"/>
      <c r="H12" s="250"/>
      <c r="I12" s="250"/>
      <c r="J12" s="191" t="str">
        <f>IF(COUNT(D12,E12)=2,IF(E12&gt;D12,IF(E12&gt;D12+F12,E12-D12-F12,""),(TIME(23,0,0)+TIME(1,0,0)+E12-D12-F12)),"")</f>
        <v/>
      </c>
      <c r="K12" s="191" t="str">
        <f>IF(COUNT(J12)=1,J12+G12,IF(COUNT(G12)=1,G12,""))</f>
        <v/>
      </c>
      <c r="L12" s="191" t="str">
        <f t="shared" ref="L12:L41" si="8">IF(AND(S12=TRUE,COUNT(K12)=1), IF( $R$7&gt;K12+H12+I12, $R$7-K12-H12-I12, ""), IF( AND(S12=TRUE,COUNT(K12)&lt;1),  IF( $R$7&gt;H12+I12,$R$7-H12-I12, ""), "") )</f>
        <v/>
      </c>
      <c r="M12" s="191" t="str">
        <f>IF(AND(S12=TRUE,COUNT(K12)=1),IF(K12+H12+I12&gt;$R$7,IF(FLOOR(K12+H12+I12-$R$7+TIME(0,0,1),"0:15")&gt;TIME(13,30,0),ERROR.TYPE(""), IF(FLOOR(K12+H12+I12-$R$7+TIME(0,0,1),"0:15")&gt;0,FLOOR(K12+H12+I12-$R$7+TIME(0,0,1),"0:15"),"")      ),""),"")</f>
        <v/>
      </c>
      <c r="N12" s="191" t="str">
        <f>IF(AND(S12=TRUE,COUNT(D12,E12)=2),IF(E12&gt;TIME(23,0,0),FLOOR(E12-TIME(23,0,0)+TIME(0,0,1),"0:15"),IF(E12&lt;D12,MIN(FLOOR(E12+TIME(0,0,1),"0:15")+TIME(1,0,0),TIME(7,0,0)),"")),"")</f>
        <v/>
      </c>
      <c r="O12" s="191" t="str">
        <f>IF(AND(OR(B12="土",B12="Sat",C12="*"),(COUNT(J12)=1)),IF(Q12="",J12,IF(J12&gt;Q12,J12-Q12,IF(J12=Q12,"",ERROR.TYPE("")))),"")</f>
        <v/>
      </c>
      <c r="P12" s="191" t="str">
        <f>IF(AND(OR(B12="日",B12="Sun"),COUNT(J12)=1),IF(Q12="",J12,IF(J12&gt;Q12,J12-Q12,IF(J12=Q12,"",ERROR.TYPE("")))),"")</f>
        <v/>
      </c>
      <c r="Q12" s="190"/>
      <c r="R12" s="192" t="s">
        <v>183</v>
      </c>
      <c r="S12" s="144" t="b">
        <f>NOT(OR(A12="",B12="土",B12="日",B12="Sat",B12="Sun",C12="*"))</f>
        <v>0</v>
      </c>
      <c r="T12" s="145"/>
      <c r="U12" s="146"/>
      <c r="V12" s="144"/>
      <c r="W12" s="147" t="str">
        <f>IF(OR(H12&lt;&gt;"",M12&lt;&gt;"",N12&lt;&gt;"",O12&lt;&gt;"",P12&lt;&gt;"",Q12&lt;&gt;""),"OT","")</f>
        <v/>
      </c>
      <c r="X12" s="26" t="str">
        <f t="shared" ref="X12:X41" si="9">IF(AND(OR(H12&lt;&gt;"",I12&lt;&gt;"",K12="",K12&lt;$R$7),S12=TRUE),TRUE,"")</f>
        <v/>
      </c>
      <c r="AA12" s="148"/>
    </row>
    <row r="13" spans="1:37" s="26" customFormat="1" ht="12">
      <c r="A13" s="187">
        <f t="shared" si="7"/>
        <v>41642</v>
      </c>
      <c r="B13" s="188" t="str">
        <f t="shared" si="0"/>
        <v>金</v>
      </c>
      <c r="C13" s="189" t="s">
        <v>104</v>
      </c>
      <c r="D13" s="190"/>
      <c r="E13" s="190"/>
      <c r="F13" s="190"/>
      <c r="G13" s="250"/>
      <c r="H13" s="250"/>
      <c r="I13" s="250"/>
      <c r="J13" s="191" t="str">
        <f t="shared" si="1"/>
        <v/>
      </c>
      <c r="K13" s="191" t="str">
        <f t="shared" si="2"/>
        <v/>
      </c>
      <c r="L13" s="191" t="str">
        <f t="shared" si="8"/>
        <v/>
      </c>
      <c r="M13" s="191" t="str">
        <f t="shared" si="3"/>
        <v/>
      </c>
      <c r="N13" s="191" t="str">
        <f t="shared" si="4"/>
        <v/>
      </c>
      <c r="O13" s="191" t="str">
        <f t="shared" si="5"/>
        <v/>
      </c>
      <c r="P13" s="191" t="str">
        <f t="shared" si="6"/>
        <v/>
      </c>
      <c r="Q13" s="190"/>
      <c r="R13" s="192" t="s">
        <v>183</v>
      </c>
      <c r="S13" s="25" t="b">
        <f>NOT(OR(A13="",B13="土",B13="日",B13="Sat",B13="Sun",C13="*"))</f>
        <v>0</v>
      </c>
      <c r="T13" s="55"/>
      <c r="U13" s="54"/>
      <c r="V13" s="25"/>
      <c r="W13" s="26" t="str">
        <f>IF(OR(H13&lt;&gt;"",M13&lt;&gt;"",N13&lt;&gt;"",O13&lt;&gt;"",P13&lt;&gt;"",Q13&lt;&gt;""),"OT","")</f>
        <v/>
      </c>
      <c r="X13" s="26" t="str">
        <f t="shared" si="9"/>
        <v/>
      </c>
      <c r="AA13" s="137"/>
    </row>
    <row r="14" spans="1:37" s="26" customFormat="1" ht="12">
      <c r="A14" s="178">
        <f t="shared" si="7"/>
        <v>41643</v>
      </c>
      <c r="B14" s="179" t="str">
        <f t="shared" si="0"/>
        <v>土</v>
      </c>
      <c r="C14" s="180"/>
      <c r="D14" s="181"/>
      <c r="E14" s="181"/>
      <c r="F14" s="181"/>
      <c r="G14" s="252"/>
      <c r="H14" s="252"/>
      <c r="I14" s="252"/>
      <c r="J14" s="182" t="str">
        <f t="shared" si="1"/>
        <v/>
      </c>
      <c r="K14" s="182" t="str">
        <f t="shared" si="2"/>
        <v/>
      </c>
      <c r="L14" s="182" t="str">
        <f t="shared" si="8"/>
        <v/>
      </c>
      <c r="M14" s="182" t="str">
        <f t="shared" si="3"/>
        <v/>
      </c>
      <c r="N14" s="182" t="str">
        <f t="shared" si="4"/>
        <v/>
      </c>
      <c r="O14" s="182" t="str">
        <f t="shared" si="5"/>
        <v/>
      </c>
      <c r="P14" s="182" t="str">
        <f t="shared" si="6"/>
        <v/>
      </c>
      <c r="Q14" s="181"/>
      <c r="R14" s="192"/>
      <c r="S14" s="25" t="b">
        <f>NOT(OR(A14="",B14="土",B14="日",B14="Sat",B14="Sun",C14="*"))</f>
        <v>0</v>
      </c>
      <c r="T14" s="55"/>
      <c r="U14" s="54"/>
      <c r="V14" s="25"/>
      <c r="W14" s="26" t="str">
        <f>IF(OR(H14&lt;&gt;"",M14&lt;&gt;"",N14&lt;&gt;"",O14&lt;&gt;"",P14&lt;&gt;"",Q14&lt;&gt;""),"OT","")</f>
        <v/>
      </c>
      <c r="X14" s="26" t="str">
        <f t="shared" si="9"/>
        <v/>
      </c>
      <c r="AA14" s="137"/>
    </row>
    <row r="15" spans="1:37" s="26" customFormat="1" ht="12">
      <c r="A15" s="172">
        <f t="shared" si="7"/>
        <v>41644</v>
      </c>
      <c r="B15" s="173" t="str">
        <f t="shared" si="0"/>
        <v>日</v>
      </c>
      <c r="C15" s="174"/>
      <c r="D15" s="175"/>
      <c r="E15" s="175"/>
      <c r="F15" s="175"/>
      <c r="G15" s="254"/>
      <c r="H15" s="254"/>
      <c r="I15" s="254"/>
      <c r="J15" s="176" t="str">
        <f t="shared" si="1"/>
        <v/>
      </c>
      <c r="K15" s="176" t="str">
        <f t="shared" si="2"/>
        <v/>
      </c>
      <c r="L15" s="176" t="str">
        <f t="shared" si="8"/>
        <v/>
      </c>
      <c r="M15" s="176" t="str">
        <f t="shared" si="3"/>
        <v/>
      </c>
      <c r="N15" s="176" t="str">
        <f t="shared" si="4"/>
        <v/>
      </c>
      <c r="O15" s="176" t="str">
        <f t="shared" si="5"/>
        <v/>
      </c>
      <c r="P15" s="176" t="str">
        <f t="shared" si="6"/>
        <v/>
      </c>
      <c r="Q15" s="175"/>
      <c r="R15" s="177"/>
      <c r="S15" s="25" t="b">
        <f>NOT(OR(A15="",B15="土",B15="日",B15="Sat",B15="Sun",C15="*"))</f>
        <v>0</v>
      </c>
      <c r="T15" s="55"/>
      <c r="U15" s="54"/>
      <c r="V15" s="25"/>
      <c r="W15" s="26" t="str">
        <f>IF(OR(H15&lt;&gt;"",M15&lt;&gt;"",N15&lt;&gt;"",O15&lt;&gt;"",P15&lt;&gt;"",Q15&lt;&gt;""),"OT","")</f>
        <v/>
      </c>
      <c r="X15" s="26" t="str">
        <f t="shared" si="9"/>
        <v/>
      </c>
      <c r="AA15" s="137"/>
    </row>
    <row r="16" spans="1:37" s="26" customFormat="1" ht="12">
      <c r="A16" s="187">
        <f t="shared" si="7"/>
        <v>41645</v>
      </c>
      <c r="B16" s="188" t="str">
        <f t="shared" si="0"/>
        <v>月</v>
      </c>
      <c r="C16" s="189"/>
      <c r="D16" s="190">
        <v>0.41666666666666669</v>
      </c>
      <c r="E16" s="190">
        <v>0.80208333333333337</v>
      </c>
      <c r="F16" s="190">
        <v>5.2083333333333336E-2</v>
      </c>
      <c r="G16" s="250"/>
      <c r="H16" s="250"/>
      <c r="I16" s="250"/>
      <c r="J16" s="191">
        <f t="shared" si="1"/>
        <v>0.33333333333333337</v>
      </c>
      <c r="K16" s="191">
        <f t="shared" si="2"/>
        <v>0.33333333333333337</v>
      </c>
      <c r="L16" s="191" t="str">
        <f t="shared" si="8"/>
        <v/>
      </c>
      <c r="M16" s="191" t="str">
        <f t="shared" si="3"/>
        <v/>
      </c>
      <c r="N16" s="191" t="str">
        <f t="shared" si="4"/>
        <v/>
      </c>
      <c r="O16" s="191" t="str">
        <f t="shared" si="5"/>
        <v/>
      </c>
      <c r="P16" s="191" t="str">
        <f t="shared" si="6"/>
        <v/>
      </c>
      <c r="Q16" s="190"/>
      <c r="R16" s="251" t="s">
        <v>180</v>
      </c>
      <c r="S16" s="25" t="b">
        <f t="shared" ref="S16:S41" si="10">NOT(OR(A16="",B16="土",B16="日",B16="Sat",B16="Sun",C16="*"))</f>
        <v>1</v>
      </c>
      <c r="T16" s="55"/>
      <c r="U16" s="54"/>
      <c r="V16" s="25"/>
      <c r="W16" s="26" t="str">
        <f t="shared" ref="W16:W41" si="11">IF(OR(H16&lt;&gt;"",M16&lt;&gt;"",N16&lt;&gt;"",O16&lt;&gt;"",P16&lt;&gt;"",Q16&lt;&gt;""),"OT","")</f>
        <v/>
      </c>
      <c r="X16" s="26" t="str">
        <f t="shared" si="9"/>
        <v/>
      </c>
      <c r="AA16" s="137"/>
    </row>
    <row r="17" spans="1:27" s="26" customFormat="1" ht="12">
      <c r="A17" s="187">
        <f t="shared" si="7"/>
        <v>41646</v>
      </c>
      <c r="B17" s="188" t="str">
        <f t="shared" si="0"/>
        <v>火</v>
      </c>
      <c r="C17" s="189"/>
      <c r="D17" s="190">
        <v>0.41666666666666669</v>
      </c>
      <c r="E17" s="190">
        <v>0.84375</v>
      </c>
      <c r="F17" s="190">
        <v>5.2083333333333336E-2</v>
      </c>
      <c r="G17" s="250"/>
      <c r="H17" s="250"/>
      <c r="I17" s="250"/>
      <c r="J17" s="191">
        <f t="shared" si="1"/>
        <v>0.375</v>
      </c>
      <c r="K17" s="191">
        <f t="shared" si="2"/>
        <v>0.375</v>
      </c>
      <c r="L17" s="191" t="str">
        <f t="shared" si="8"/>
        <v/>
      </c>
      <c r="M17" s="191">
        <f t="shared" si="3"/>
        <v>4.1666666666666664E-2</v>
      </c>
      <c r="N17" s="191" t="str">
        <f t="shared" si="4"/>
        <v/>
      </c>
      <c r="O17" s="191" t="str">
        <f t="shared" si="5"/>
        <v/>
      </c>
      <c r="P17" s="191" t="str">
        <f t="shared" si="6"/>
        <v/>
      </c>
      <c r="Q17" s="190"/>
      <c r="R17" s="251" t="s">
        <v>181</v>
      </c>
      <c r="S17" s="25" t="b">
        <f t="shared" si="10"/>
        <v>1</v>
      </c>
      <c r="T17" s="55"/>
      <c r="U17" s="54"/>
      <c r="V17" s="25"/>
      <c r="W17" s="26" t="str">
        <f t="shared" si="11"/>
        <v>OT</v>
      </c>
      <c r="X17" s="26" t="str">
        <f t="shared" si="9"/>
        <v/>
      </c>
      <c r="AA17" s="137"/>
    </row>
    <row r="18" spans="1:27" s="26" customFormat="1" ht="12">
      <c r="A18" s="187">
        <f t="shared" si="7"/>
        <v>41647</v>
      </c>
      <c r="B18" s="188" t="str">
        <f t="shared" si="0"/>
        <v>水</v>
      </c>
      <c r="C18" s="189"/>
      <c r="D18" s="190">
        <v>0.41666666666666669</v>
      </c>
      <c r="E18" s="190">
        <v>0.80208333333333337</v>
      </c>
      <c r="F18" s="190">
        <v>5.2083333333333336E-2</v>
      </c>
      <c r="G18" s="250"/>
      <c r="H18" s="250"/>
      <c r="I18" s="250"/>
      <c r="J18" s="191">
        <f t="shared" si="1"/>
        <v>0.33333333333333337</v>
      </c>
      <c r="K18" s="191">
        <f t="shared" si="2"/>
        <v>0.33333333333333337</v>
      </c>
      <c r="L18" s="191" t="str">
        <f t="shared" si="8"/>
        <v/>
      </c>
      <c r="M18" s="191" t="str">
        <f t="shared" si="3"/>
        <v/>
      </c>
      <c r="N18" s="191" t="str">
        <f t="shared" si="4"/>
        <v/>
      </c>
      <c r="O18" s="191" t="str">
        <f t="shared" si="5"/>
        <v/>
      </c>
      <c r="P18" s="191" t="str">
        <f t="shared" si="6"/>
        <v/>
      </c>
      <c r="Q18" s="190"/>
      <c r="R18" s="251"/>
      <c r="S18" s="25" t="b">
        <f t="shared" si="10"/>
        <v>1</v>
      </c>
      <c r="T18" s="55"/>
      <c r="U18" s="54"/>
      <c r="V18" s="25"/>
      <c r="W18" s="26" t="str">
        <f t="shared" si="11"/>
        <v/>
      </c>
      <c r="X18" s="26" t="str">
        <f t="shared" si="9"/>
        <v/>
      </c>
      <c r="AA18" s="137"/>
    </row>
    <row r="19" spans="1:27" s="147" customFormat="1" ht="12">
      <c r="A19" s="187">
        <f t="shared" si="7"/>
        <v>41648</v>
      </c>
      <c r="B19" s="188" t="str">
        <f t="shared" si="0"/>
        <v>木</v>
      </c>
      <c r="C19" s="189"/>
      <c r="D19" s="190">
        <v>0.41666666666666669</v>
      </c>
      <c r="E19" s="190">
        <v>0.80208333333333337</v>
      </c>
      <c r="F19" s="190">
        <v>5.2083333333333336E-2</v>
      </c>
      <c r="G19" s="250"/>
      <c r="H19" s="250"/>
      <c r="I19" s="250"/>
      <c r="J19" s="191">
        <f t="shared" si="1"/>
        <v>0.33333333333333337</v>
      </c>
      <c r="K19" s="191">
        <f t="shared" si="2"/>
        <v>0.33333333333333337</v>
      </c>
      <c r="L19" s="191" t="str">
        <f t="shared" si="8"/>
        <v/>
      </c>
      <c r="M19" s="191" t="str">
        <f t="shared" si="3"/>
        <v/>
      </c>
      <c r="N19" s="191" t="str">
        <f t="shared" si="4"/>
        <v/>
      </c>
      <c r="O19" s="191" t="str">
        <f t="shared" si="5"/>
        <v/>
      </c>
      <c r="P19" s="191" t="str">
        <f t="shared" si="6"/>
        <v/>
      </c>
      <c r="Q19" s="190"/>
      <c r="R19" s="192"/>
      <c r="S19" s="144" t="b">
        <f t="shared" si="10"/>
        <v>1</v>
      </c>
      <c r="T19" s="145"/>
      <c r="U19" s="146"/>
      <c r="V19" s="144"/>
      <c r="W19" s="147" t="str">
        <f t="shared" si="11"/>
        <v/>
      </c>
      <c r="X19" s="26" t="str">
        <f t="shared" si="9"/>
        <v/>
      </c>
      <c r="AA19" s="148"/>
    </row>
    <row r="20" spans="1:27" s="170" customFormat="1" ht="12">
      <c r="A20" s="187">
        <f t="shared" si="7"/>
        <v>41649</v>
      </c>
      <c r="B20" s="188" t="str">
        <f t="shared" si="0"/>
        <v>金</v>
      </c>
      <c r="C20" s="189"/>
      <c r="D20" s="190">
        <v>0.41666666666666669</v>
      </c>
      <c r="E20" s="190">
        <v>0.80208333333333337</v>
      </c>
      <c r="F20" s="190">
        <v>5.2083333333333336E-2</v>
      </c>
      <c r="G20" s="250"/>
      <c r="H20" s="250"/>
      <c r="I20" s="250"/>
      <c r="J20" s="191">
        <f t="shared" si="1"/>
        <v>0.33333333333333337</v>
      </c>
      <c r="K20" s="191">
        <f t="shared" si="2"/>
        <v>0.33333333333333337</v>
      </c>
      <c r="L20" s="191" t="str">
        <f t="shared" si="8"/>
        <v/>
      </c>
      <c r="M20" s="191" t="str">
        <f t="shared" si="3"/>
        <v/>
      </c>
      <c r="N20" s="191" t="str">
        <f t="shared" si="4"/>
        <v/>
      </c>
      <c r="O20" s="191" t="str">
        <f t="shared" si="5"/>
        <v/>
      </c>
      <c r="P20" s="191" t="str">
        <f t="shared" si="6"/>
        <v/>
      </c>
      <c r="Q20" s="190"/>
      <c r="R20" s="251"/>
      <c r="S20" s="167" t="b">
        <f t="shared" si="10"/>
        <v>1</v>
      </c>
      <c r="T20" s="168"/>
      <c r="U20" s="169"/>
      <c r="V20" s="167"/>
      <c r="W20" s="170" t="str">
        <f t="shared" si="11"/>
        <v/>
      </c>
      <c r="X20" s="26" t="str">
        <f t="shared" si="9"/>
        <v/>
      </c>
      <c r="AA20" s="171"/>
    </row>
    <row r="21" spans="1:27" s="26" customFormat="1" ht="12">
      <c r="A21" s="178">
        <f t="shared" si="7"/>
        <v>41650</v>
      </c>
      <c r="B21" s="179" t="str">
        <f t="shared" si="0"/>
        <v>土</v>
      </c>
      <c r="C21" s="180"/>
      <c r="D21" s="181"/>
      <c r="E21" s="181"/>
      <c r="F21" s="181"/>
      <c r="G21" s="252"/>
      <c r="H21" s="252"/>
      <c r="I21" s="252"/>
      <c r="J21" s="182" t="str">
        <f t="shared" si="1"/>
        <v/>
      </c>
      <c r="K21" s="182" t="str">
        <f t="shared" si="2"/>
        <v/>
      </c>
      <c r="L21" s="182" t="str">
        <f t="shared" si="8"/>
        <v/>
      </c>
      <c r="M21" s="182" t="str">
        <f t="shared" si="3"/>
        <v/>
      </c>
      <c r="N21" s="182" t="str">
        <f t="shared" si="4"/>
        <v/>
      </c>
      <c r="O21" s="182" t="str">
        <f t="shared" si="5"/>
        <v/>
      </c>
      <c r="P21" s="182" t="str">
        <f t="shared" si="6"/>
        <v/>
      </c>
      <c r="Q21" s="181"/>
      <c r="R21" s="183"/>
      <c r="S21" s="25" t="b">
        <f t="shared" si="10"/>
        <v>0</v>
      </c>
      <c r="T21" s="55"/>
      <c r="U21" s="54"/>
      <c r="V21" s="25"/>
      <c r="W21" s="26" t="str">
        <f t="shared" si="11"/>
        <v/>
      </c>
      <c r="X21" s="26" t="str">
        <f t="shared" si="9"/>
        <v/>
      </c>
      <c r="AA21" s="137"/>
    </row>
    <row r="22" spans="1:27" s="26" customFormat="1" ht="12">
      <c r="A22" s="172">
        <f t="shared" si="7"/>
        <v>41651</v>
      </c>
      <c r="B22" s="173" t="str">
        <f t="shared" si="0"/>
        <v>日</v>
      </c>
      <c r="C22" s="174"/>
      <c r="D22" s="175"/>
      <c r="E22" s="175"/>
      <c r="F22" s="175"/>
      <c r="G22" s="254"/>
      <c r="H22" s="254"/>
      <c r="I22" s="254"/>
      <c r="J22" s="176" t="str">
        <f t="shared" si="1"/>
        <v/>
      </c>
      <c r="K22" s="176" t="str">
        <f t="shared" si="2"/>
        <v/>
      </c>
      <c r="L22" s="176" t="str">
        <f t="shared" si="8"/>
        <v/>
      </c>
      <c r="M22" s="176" t="str">
        <f t="shared" si="3"/>
        <v/>
      </c>
      <c r="N22" s="176" t="str">
        <f t="shared" si="4"/>
        <v/>
      </c>
      <c r="O22" s="176" t="str">
        <f t="shared" si="5"/>
        <v/>
      </c>
      <c r="P22" s="176" t="str">
        <f t="shared" si="6"/>
        <v/>
      </c>
      <c r="Q22" s="175"/>
      <c r="R22" s="177"/>
      <c r="S22" s="25" t="b">
        <f t="shared" si="10"/>
        <v>0</v>
      </c>
      <c r="T22" s="55"/>
      <c r="U22" s="54"/>
      <c r="V22" s="25"/>
      <c r="W22" s="26" t="str">
        <f t="shared" si="11"/>
        <v/>
      </c>
      <c r="X22" s="26" t="str">
        <f t="shared" si="9"/>
        <v/>
      </c>
      <c r="AA22" s="137"/>
    </row>
    <row r="23" spans="1:27" s="26" customFormat="1" ht="12">
      <c r="A23" s="187">
        <f t="shared" si="7"/>
        <v>41652</v>
      </c>
      <c r="B23" s="188" t="str">
        <f t="shared" si="0"/>
        <v>月</v>
      </c>
      <c r="C23" s="189" t="s">
        <v>104</v>
      </c>
      <c r="D23" s="190"/>
      <c r="E23" s="190"/>
      <c r="F23" s="190"/>
      <c r="G23" s="250"/>
      <c r="H23" s="250"/>
      <c r="I23" s="250"/>
      <c r="J23" s="191" t="str">
        <f t="shared" si="1"/>
        <v/>
      </c>
      <c r="K23" s="191" t="str">
        <f t="shared" si="2"/>
        <v/>
      </c>
      <c r="L23" s="191" t="str">
        <f t="shared" si="8"/>
        <v/>
      </c>
      <c r="M23" s="191" t="str">
        <f t="shared" si="3"/>
        <v/>
      </c>
      <c r="N23" s="191" t="str">
        <f t="shared" si="4"/>
        <v/>
      </c>
      <c r="O23" s="191" t="str">
        <f t="shared" si="5"/>
        <v/>
      </c>
      <c r="P23" s="191" t="str">
        <f t="shared" si="6"/>
        <v/>
      </c>
      <c r="Q23" s="190"/>
      <c r="R23" s="192" t="s">
        <v>182</v>
      </c>
      <c r="S23" s="25" t="b">
        <f t="shared" si="10"/>
        <v>0</v>
      </c>
      <c r="T23" s="55"/>
      <c r="U23" s="54"/>
      <c r="V23" s="25"/>
      <c r="W23" s="26" t="str">
        <f t="shared" si="11"/>
        <v/>
      </c>
      <c r="X23" s="26" t="str">
        <f t="shared" si="9"/>
        <v/>
      </c>
      <c r="AA23" s="137"/>
    </row>
    <row r="24" spans="1:27" s="26" customFormat="1" ht="12">
      <c r="A24" s="187">
        <f t="shared" si="7"/>
        <v>41653</v>
      </c>
      <c r="B24" s="188" t="str">
        <f t="shared" si="0"/>
        <v>火</v>
      </c>
      <c r="C24" s="189"/>
      <c r="D24" s="190">
        <v>0.41666666666666669</v>
      </c>
      <c r="E24" s="190">
        <v>0.80208333333333337</v>
      </c>
      <c r="F24" s="190">
        <v>5.2083333333333336E-2</v>
      </c>
      <c r="G24" s="250"/>
      <c r="H24" s="250"/>
      <c r="I24" s="250"/>
      <c r="J24" s="191">
        <f t="shared" si="1"/>
        <v>0.33333333333333337</v>
      </c>
      <c r="K24" s="191">
        <f t="shared" si="2"/>
        <v>0.33333333333333337</v>
      </c>
      <c r="L24" s="191" t="str">
        <f t="shared" si="8"/>
        <v/>
      </c>
      <c r="M24" s="191" t="str">
        <f t="shared" si="3"/>
        <v/>
      </c>
      <c r="N24" s="191" t="str">
        <f t="shared" si="4"/>
        <v/>
      </c>
      <c r="O24" s="191" t="str">
        <f t="shared" si="5"/>
        <v/>
      </c>
      <c r="P24" s="191" t="str">
        <f t="shared" si="6"/>
        <v/>
      </c>
      <c r="Q24" s="190"/>
      <c r="R24" s="251" t="s">
        <v>184</v>
      </c>
      <c r="S24" s="25" t="b">
        <f t="shared" si="10"/>
        <v>1</v>
      </c>
      <c r="T24" s="55"/>
      <c r="U24" s="54"/>
      <c r="V24" s="25"/>
      <c r="W24" s="26" t="str">
        <f t="shared" si="11"/>
        <v/>
      </c>
      <c r="X24" s="26" t="str">
        <f t="shared" si="9"/>
        <v/>
      </c>
      <c r="AA24" s="137"/>
    </row>
    <row r="25" spans="1:27" s="26" customFormat="1" ht="12">
      <c r="A25" s="187">
        <f t="shared" si="7"/>
        <v>41654</v>
      </c>
      <c r="B25" s="188" t="str">
        <f t="shared" si="0"/>
        <v>水</v>
      </c>
      <c r="C25" s="189"/>
      <c r="D25" s="190">
        <v>0.41666666666666669</v>
      </c>
      <c r="E25" s="190">
        <v>0.80208333333333337</v>
      </c>
      <c r="F25" s="190">
        <v>5.2083333333333336E-2</v>
      </c>
      <c r="G25" s="250"/>
      <c r="H25" s="250"/>
      <c r="I25" s="250"/>
      <c r="J25" s="191">
        <f t="shared" si="1"/>
        <v>0.33333333333333337</v>
      </c>
      <c r="K25" s="191">
        <f t="shared" si="2"/>
        <v>0.33333333333333337</v>
      </c>
      <c r="L25" s="191" t="str">
        <f t="shared" si="8"/>
        <v/>
      </c>
      <c r="M25" s="191" t="str">
        <f t="shared" si="3"/>
        <v/>
      </c>
      <c r="N25" s="191" t="str">
        <f t="shared" si="4"/>
        <v/>
      </c>
      <c r="O25" s="191" t="str">
        <f t="shared" si="5"/>
        <v/>
      </c>
      <c r="P25" s="191" t="str">
        <f t="shared" si="6"/>
        <v/>
      </c>
      <c r="Q25" s="190"/>
      <c r="R25" s="251" t="s">
        <v>184</v>
      </c>
      <c r="S25" s="25" t="b">
        <f t="shared" si="10"/>
        <v>1</v>
      </c>
      <c r="T25" s="55"/>
      <c r="U25" s="54"/>
      <c r="V25" s="25"/>
      <c r="W25" s="26" t="str">
        <f t="shared" si="11"/>
        <v/>
      </c>
      <c r="X25" s="26" t="str">
        <f t="shared" si="9"/>
        <v/>
      </c>
      <c r="AA25" s="137"/>
    </row>
    <row r="26" spans="1:27" s="26" customFormat="1" ht="12">
      <c r="A26" s="187">
        <f t="shared" si="7"/>
        <v>41655</v>
      </c>
      <c r="B26" s="188" t="str">
        <f t="shared" si="0"/>
        <v>木</v>
      </c>
      <c r="C26" s="189"/>
      <c r="D26" s="190">
        <v>0.41666666666666669</v>
      </c>
      <c r="E26" s="190">
        <v>0.86458333333333337</v>
      </c>
      <c r="F26" s="190">
        <v>5.2083333333333336E-2</v>
      </c>
      <c r="G26" s="250"/>
      <c r="H26" s="250"/>
      <c r="I26" s="250"/>
      <c r="J26" s="191">
        <f t="shared" si="1"/>
        <v>0.39583333333333337</v>
      </c>
      <c r="K26" s="191">
        <f t="shared" si="2"/>
        <v>0.39583333333333337</v>
      </c>
      <c r="L26" s="191" t="str">
        <f t="shared" si="8"/>
        <v/>
      </c>
      <c r="M26" s="191">
        <f t="shared" si="3"/>
        <v>6.25E-2</v>
      </c>
      <c r="N26" s="191" t="str">
        <f t="shared" si="4"/>
        <v/>
      </c>
      <c r="O26" s="191" t="str">
        <f t="shared" si="5"/>
        <v/>
      </c>
      <c r="P26" s="191" t="str">
        <f t="shared" si="6"/>
        <v/>
      </c>
      <c r="Q26" s="190"/>
      <c r="R26" s="251" t="s">
        <v>184</v>
      </c>
      <c r="S26" s="25" t="b">
        <f t="shared" si="10"/>
        <v>1</v>
      </c>
      <c r="T26" s="55"/>
      <c r="U26" s="54"/>
      <c r="V26" s="25"/>
      <c r="W26" s="26" t="str">
        <f t="shared" si="11"/>
        <v>OT</v>
      </c>
      <c r="X26" s="26" t="str">
        <f t="shared" si="9"/>
        <v/>
      </c>
      <c r="AA26" s="137"/>
    </row>
    <row r="27" spans="1:27" s="26" customFormat="1" ht="12">
      <c r="A27" s="187">
        <f t="shared" si="7"/>
        <v>41656</v>
      </c>
      <c r="B27" s="188" t="str">
        <f t="shared" si="0"/>
        <v>金</v>
      </c>
      <c r="C27" s="189"/>
      <c r="D27" s="190">
        <v>0.41666666666666669</v>
      </c>
      <c r="E27" s="190">
        <v>0.80208333333333337</v>
      </c>
      <c r="F27" s="190">
        <v>5.2083333333333336E-2</v>
      </c>
      <c r="G27" s="250"/>
      <c r="H27" s="250"/>
      <c r="I27" s="250"/>
      <c r="J27" s="191">
        <f t="shared" si="1"/>
        <v>0.33333333333333337</v>
      </c>
      <c r="K27" s="191">
        <f t="shared" si="2"/>
        <v>0.33333333333333337</v>
      </c>
      <c r="L27" s="191" t="str">
        <f t="shared" si="8"/>
        <v/>
      </c>
      <c r="M27" s="191" t="str">
        <f t="shared" si="3"/>
        <v/>
      </c>
      <c r="N27" s="191" t="str">
        <f t="shared" si="4"/>
        <v/>
      </c>
      <c r="O27" s="191" t="str">
        <f t="shared" si="5"/>
        <v/>
      </c>
      <c r="P27" s="191" t="str">
        <f t="shared" si="6"/>
        <v/>
      </c>
      <c r="Q27" s="190"/>
      <c r="R27" s="251" t="s">
        <v>184</v>
      </c>
      <c r="S27" s="25" t="b">
        <f t="shared" si="10"/>
        <v>1</v>
      </c>
      <c r="T27" s="55"/>
      <c r="U27" s="54"/>
      <c r="V27" s="25"/>
      <c r="W27" s="26" t="str">
        <f t="shared" si="11"/>
        <v/>
      </c>
      <c r="X27" s="26" t="str">
        <f t="shared" si="9"/>
        <v/>
      </c>
      <c r="AA27" s="137"/>
    </row>
    <row r="28" spans="1:27" s="26" customFormat="1" ht="12">
      <c r="A28" s="178">
        <f t="shared" si="7"/>
        <v>41657</v>
      </c>
      <c r="B28" s="179" t="str">
        <f t="shared" si="0"/>
        <v>土</v>
      </c>
      <c r="C28" s="180"/>
      <c r="D28" s="181"/>
      <c r="E28" s="181"/>
      <c r="F28" s="181"/>
      <c r="G28" s="252"/>
      <c r="H28" s="252"/>
      <c r="I28" s="252"/>
      <c r="J28" s="182" t="str">
        <f t="shared" si="1"/>
        <v/>
      </c>
      <c r="K28" s="182" t="str">
        <f t="shared" si="2"/>
        <v/>
      </c>
      <c r="L28" s="182" t="str">
        <f t="shared" si="8"/>
        <v/>
      </c>
      <c r="M28" s="182" t="str">
        <f t="shared" si="3"/>
        <v/>
      </c>
      <c r="N28" s="182" t="str">
        <f t="shared" si="4"/>
        <v/>
      </c>
      <c r="O28" s="182" t="str">
        <f t="shared" si="5"/>
        <v/>
      </c>
      <c r="P28" s="182" t="str">
        <f t="shared" si="6"/>
        <v/>
      </c>
      <c r="Q28" s="181"/>
      <c r="R28" s="253"/>
      <c r="S28" s="25" t="b">
        <f t="shared" si="10"/>
        <v>0</v>
      </c>
      <c r="T28" s="55"/>
      <c r="U28" s="54"/>
      <c r="V28" s="25"/>
      <c r="W28" s="26" t="str">
        <f t="shared" si="11"/>
        <v/>
      </c>
      <c r="X28" s="26" t="str">
        <f t="shared" si="9"/>
        <v/>
      </c>
      <c r="AA28" s="137"/>
    </row>
    <row r="29" spans="1:27" s="26" customFormat="1" ht="12">
      <c r="A29" s="172">
        <f t="shared" si="7"/>
        <v>41658</v>
      </c>
      <c r="B29" s="173" t="str">
        <f t="shared" si="0"/>
        <v>日</v>
      </c>
      <c r="C29" s="174"/>
      <c r="D29" s="175"/>
      <c r="E29" s="175"/>
      <c r="F29" s="175"/>
      <c r="G29" s="254"/>
      <c r="H29" s="254"/>
      <c r="I29" s="254"/>
      <c r="J29" s="176" t="str">
        <f t="shared" si="1"/>
        <v/>
      </c>
      <c r="K29" s="176" t="str">
        <f t="shared" si="2"/>
        <v/>
      </c>
      <c r="L29" s="176" t="str">
        <f t="shared" si="8"/>
        <v/>
      </c>
      <c r="M29" s="176" t="str">
        <f t="shared" si="3"/>
        <v/>
      </c>
      <c r="N29" s="176" t="str">
        <f t="shared" si="4"/>
        <v/>
      </c>
      <c r="O29" s="176" t="str">
        <f t="shared" si="5"/>
        <v/>
      </c>
      <c r="P29" s="176" t="str">
        <f t="shared" si="6"/>
        <v/>
      </c>
      <c r="Q29" s="175"/>
      <c r="R29" s="255"/>
      <c r="S29" s="25" t="b">
        <f t="shared" si="10"/>
        <v>0</v>
      </c>
      <c r="T29" s="55"/>
      <c r="U29" s="54"/>
      <c r="V29" s="25"/>
      <c r="W29" s="26" t="str">
        <f t="shared" si="11"/>
        <v/>
      </c>
      <c r="X29" s="26" t="str">
        <f t="shared" si="9"/>
        <v/>
      </c>
      <c r="AA29" s="137"/>
    </row>
    <row r="30" spans="1:27" s="26" customFormat="1" ht="12">
      <c r="A30" s="187">
        <f t="shared" si="7"/>
        <v>41659</v>
      </c>
      <c r="B30" s="188" t="str">
        <f t="shared" si="0"/>
        <v>月</v>
      </c>
      <c r="C30" s="189"/>
      <c r="D30" s="190">
        <v>0.41666666666666669</v>
      </c>
      <c r="E30" s="190">
        <v>0.84375</v>
      </c>
      <c r="F30" s="190">
        <v>5.2083333333333336E-2</v>
      </c>
      <c r="G30" s="250"/>
      <c r="H30" s="250"/>
      <c r="I30" s="250"/>
      <c r="J30" s="191">
        <f t="shared" si="1"/>
        <v>0.375</v>
      </c>
      <c r="K30" s="191">
        <f t="shared" si="2"/>
        <v>0.375</v>
      </c>
      <c r="L30" s="191" t="str">
        <f t="shared" si="8"/>
        <v/>
      </c>
      <c r="M30" s="191">
        <f t="shared" si="3"/>
        <v>4.1666666666666664E-2</v>
      </c>
      <c r="N30" s="191" t="str">
        <f t="shared" si="4"/>
        <v/>
      </c>
      <c r="O30" s="191" t="str">
        <f t="shared" si="5"/>
        <v/>
      </c>
      <c r="P30" s="191" t="str">
        <f t="shared" si="6"/>
        <v/>
      </c>
      <c r="Q30" s="190"/>
      <c r="R30" s="251" t="s">
        <v>185</v>
      </c>
      <c r="S30" s="25" t="b">
        <f t="shared" si="10"/>
        <v>1</v>
      </c>
      <c r="T30" s="55"/>
      <c r="U30" s="54"/>
      <c r="V30" s="25"/>
      <c r="W30" s="26" t="str">
        <f t="shared" si="11"/>
        <v>OT</v>
      </c>
      <c r="X30" s="26" t="str">
        <f t="shared" si="9"/>
        <v/>
      </c>
      <c r="AA30" s="137"/>
    </row>
    <row r="31" spans="1:27" s="26" customFormat="1" ht="12">
      <c r="A31" s="187">
        <f t="shared" si="7"/>
        <v>41660</v>
      </c>
      <c r="B31" s="188" t="str">
        <f t="shared" si="0"/>
        <v>火</v>
      </c>
      <c r="C31" s="189"/>
      <c r="D31" s="190">
        <v>0.41666666666666669</v>
      </c>
      <c r="E31" s="190">
        <v>0.89583333333333337</v>
      </c>
      <c r="F31" s="190">
        <v>6.25E-2</v>
      </c>
      <c r="G31" s="250"/>
      <c r="H31" s="250"/>
      <c r="I31" s="250"/>
      <c r="J31" s="191">
        <f t="shared" si="1"/>
        <v>0.41666666666666669</v>
      </c>
      <c r="K31" s="191">
        <f t="shared" si="2"/>
        <v>0.41666666666666669</v>
      </c>
      <c r="L31" s="191" t="str">
        <f t="shared" si="8"/>
        <v/>
      </c>
      <c r="M31" s="191">
        <f t="shared" si="3"/>
        <v>8.3333333333333329E-2</v>
      </c>
      <c r="N31" s="191" t="str">
        <f t="shared" si="4"/>
        <v/>
      </c>
      <c r="O31" s="191" t="str">
        <f t="shared" si="5"/>
        <v/>
      </c>
      <c r="P31" s="191" t="str">
        <f t="shared" si="6"/>
        <v/>
      </c>
      <c r="Q31" s="190"/>
      <c r="R31" s="251" t="s">
        <v>186</v>
      </c>
      <c r="S31" s="25" t="b">
        <f t="shared" si="10"/>
        <v>1</v>
      </c>
      <c r="T31" s="55"/>
      <c r="U31" s="54"/>
      <c r="V31" s="25"/>
      <c r="W31" s="26" t="str">
        <f t="shared" si="11"/>
        <v>OT</v>
      </c>
      <c r="X31" s="26" t="str">
        <f t="shared" si="9"/>
        <v/>
      </c>
      <c r="AA31" s="137"/>
    </row>
    <row r="32" spans="1:27" s="26" customFormat="1" ht="12">
      <c r="A32" s="187">
        <f t="shared" si="7"/>
        <v>41661</v>
      </c>
      <c r="B32" s="188" t="str">
        <f t="shared" si="0"/>
        <v>水</v>
      </c>
      <c r="C32" s="189"/>
      <c r="D32" s="190">
        <v>0.41666666666666669</v>
      </c>
      <c r="E32" s="190">
        <v>0.83333333333333337</v>
      </c>
      <c r="F32" s="190">
        <v>5.2083333333333336E-2</v>
      </c>
      <c r="G32" s="250"/>
      <c r="H32" s="250"/>
      <c r="I32" s="250"/>
      <c r="J32" s="191">
        <f t="shared" si="1"/>
        <v>0.36458333333333337</v>
      </c>
      <c r="K32" s="191">
        <f t="shared" si="2"/>
        <v>0.36458333333333337</v>
      </c>
      <c r="L32" s="191" t="str">
        <f t="shared" si="8"/>
        <v/>
      </c>
      <c r="M32" s="191">
        <f t="shared" si="3"/>
        <v>3.125E-2</v>
      </c>
      <c r="N32" s="191" t="str">
        <f t="shared" si="4"/>
        <v/>
      </c>
      <c r="O32" s="191" t="str">
        <f t="shared" si="5"/>
        <v/>
      </c>
      <c r="P32" s="191" t="str">
        <f t="shared" si="6"/>
        <v/>
      </c>
      <c r="Q32" s="190"/>
      <c r="R32" s="251" t="s">
        <v>187</v>
      </c>
      <c r="S32" s="25" t="b">
        <f t="shared" si="10"/>
        <v>1</v>
      </c>
      <c r="T32" s="55"/>
      <c r="U32" s="54"/>
      <c r="V32" s="25"/>
      <c r="W32" s="26" t="str">
        <f t="shared" si="11"/>
        <v>OT</v>
      </c>
      <c r="X32" s="26" t="str">
        <f t="shared" si="9"/>
        <v/>
      </c>
      <c r="AA32" s="137"/>
    </row>
    <row r="33" spans="1:27" s="26" customFormat="1" ht="12">
      <c r="A33" s="187">
        <f t="shared" si="7"/>
        <v>41662</v>
      </c>
      <c r="B33" s="188" t="str">
        <f t="shared" si="0"/>
        <v>木</v>
      </c>
      <c r="C33" s="189"/>
      <c r="D33" s="190">
        <v>0.41666666666666669</v>
      </c>
      <c r="E33" s="190">
        <v>0.80208333333333337</v>
      </c>
      <c r="F33" s="190">
        <v>5.2083333333333336E-2</v>
      </c>
      <c r="G33" s="250"/>
      <c r="H33" s="250"/>
      <c r="I33" s="250"/>
      <c r="J33" s="191">
        <f t="shared" si="1"/>
        <v>0.33333333333333337</v>
      </c>
      <c r="K33" s="191">
        <f t="shared" si="2"/>
        <v>0.33333333333333337</v>
      </c>
      <c r="L33" s="191" t="str">
        <f t="shared" si="8"/>
        <v/>
      </c>
      <c r="M33" s="191" t="str">
        <f t="shared" si="3"/>
        <v/>
      </c>
      <c r="N33" s="191" t="str">
        <f t="shared" si="4"/>
        <v/>
      </c>
      <c r="O33" s="191" t="str">
        <f t="shared" si="5"/>
        <v/>
      </c>
      <c r="P33" s="191" t="str">
        <f t="shared" si="6"/>
        <v/>
      </c>
      <c r="Q33" s="190"/>
      <c r="R33" s="251" t="s">
        <v>188</v>
      </c>
      <c r="S33" s="25" t="b">
        <f t="shared" si="10"/>
        <v>1</v>
      </c>
      <c r="T33" s="55"/>
      <c r="U33" s="54"/>
      <c r="V33" s="25"/>
      <c r="W33" s="26" t="str">
        <f t="shared" si="11"/>
        <v/>
      </c>
      <c r="X33" s="26" t="str">
        <f t="shared" si="9"/>
        <v/>
      </c>
      <c r="AA33" s="137"/>
    </row>
    <row r="34" spans="1:27" s="26" customFormat="1" ht="12">
      <c r="A34" s="187">
        <f t="shared" si="7"/>
        <v>41663</v>
      </c>
      <c r="B34" s="188" t="str">
        <f t="shared" si="0"/>
        <v>金</v>
      </c>
      <c r="C34" s="189"/>
      <c r="D34" s="190">
        <v>0.41666666666666669</v>
      </c>
      <c r="E34" s="190">
        <v>0.80208333333333337</v>
      </c>
      <c r="F34" s="190">
        <v>5.2083333333333336E-2</v>
      </c>
      <c r="G34" s="250"/>
      <c r="H34" s="250"/>
      <c r="I34" s="250"/>
      <c r="J34" s="191">
        <f t="shared" si="1"/>
        <v>0.33333333333333337</v>
      </c>
      <c r="K34" s="191">
        <f t="shared" si="2"/>
        <v>0.33333333333333337</v>
      </c>
      <c r="L34" s="191" t="str">
        <f t="shared" si="8"/>
        <v/>
      </c>
      <c r="M34" s="191" t="str">
        <f t="shared" si="3"/>
        <v/>
      </c>
      <c r="N34" s="191" t="str">
        <f t="shared" si="4"/>
        <v/>
      </c>
      <c r="O34" s="191" t="str">
        <f t="shared" si="5"/>
        <v/>
      </c>
      <c r="P34" s="191" t="str">
        <f t="shared" si="6"/>
        <v/>
      </c>
      <c r="Q34" s="190"/>
      <c r="R34" s="192" t="s">
        <v>189</v>
      </c>
      <c r="S34" s="25" t="b">
        <f t="shared" si="10"/>
        <v>1</v>
      </c>
      <c r="T34" s="55"/>
      <c r="U34" s="54"/>
      <c r="V34" s="25"/>
      <c r="W34" s="26" t="str">
        <f t="shared" si="11"/>
        <v/>
      </c>
      <c r="X34" s="26" t="str">
        <f t="shared" si="9"/>
        <v/>
      </c>
      <c r="AA34" s="137"/>
    </row>
    <row r="35" spans="1:27" s="26" customFormat="1" ht="12">
      <c r="A35" s="178">
        <f t="shared" si="7"/>
        <v>41664</v>
      </c>
      <c r="B35" s="179" t="str">
        <f t="shared" si="0"/>
        <v>土</v>
      </c>
      <c r="C35" s="180"/>
      <c r="D35" s="181"/>
      <c r="E35" s="181"/>
      <c r="F35" s="181"/>
      <c r="G35" s="252"/>
      <c r="H35" s="252"/>
      <c r="I35" s="252"/>
      <c r="J35" s="182" t="str">
        <f t="shared" si="1"/>
        <v/>
      </c>
      <c r="K35" s="182" t="str">
        <f t="shared" si="2"/>
        <v/>
      </c>
      <c r="L35" s="182" t="str">
        <f t="shared" si="8"/>
        <v/>
      </c>
      <c r="M35" s="182" t="str">
        <f t="shared" si="3"/>
        <v/>
      </c>
      <c r="N35" s="182" t="str">
        <f t="shared" si="4"/>
        <v/>
      </c>
      <c r="O35" s="182" t="str">
        <f t="shared" si="5"/>
        <v/>
      </c>
      <c r="P35" s="182" t="str">
        <f t="shared" si="6"/>
        <v/>
      </c>
      <c r="Q35" s="181"/>
      <c r="R35" s="183"/>
      <c r="S35" s="25" t="b">
        <f t="shared" si="10"/>
        <v>0</v>
      </c>
      <c r="T35" s="55"/>
      <c r="U35" s="54"/>
      <c r="V35" s="25"/>
      <c r="W35" s="26" t="str">
        <f t="shared" si="11"/>
        <v/>
      </c>
      <c r="X35" s="26" t="str">
        <f t="shared" si="9"/>
        <v/>
      </c>
      <c r="AA35" s="137"/>
    </row>
    <row r="36" spans="1:27" s="26" customFormat="1" ht="12">
      <c r="A36" s="172">
        <f t="shared" si="7"/>
        <v>41665</v>
      </c>
      <c r="B36" s="173" t="str">
        <f t="shared" si="0"/>
        <v>日</v>
      </c>
      <c r="C36" s="174"/>
      <c r="D36" s="175"/>
      <c r="E36" s="175"/>
      <c r="F36" s="175"/>
      <c r="G36" s="254"/>
      <c r="H36" s="254"/>
      <c r="I36" s="254"/>
      <c r="J36" s="176" t="str">
        <f t="shared" si="1"/>
        <v/>
      </c>
      <c r="K36" s="176" t="str">
        <f t="shared" si="2"/>
        <v/>
      </c>
      <c r="L36" s="176" t="str">
        <f t="shared" si="8"/>
        <v/>
      </c>
      <c r="M36" s="176" t="str">
        <f t="shared" si="3"/>
        <v/>
      </c>
      <c r="N36" s="176" t="str">
        <f t="shared" si="4"/>
        <v/>
      </c>
      <c r="O36" s="176" t="str">
        <f t="shared" si="5"/>
        <v/>
      </c>
      <c r="P36" s="176" t="str">
        <f t="shared" si="6"/>
        <v/>
      </c>
      <c r="Q36" s="175"/>
      <c r="R36" s="255"/>
      <c r="S36" s="25" t="b">
        <f t="shared" si="10"/>
        <v>0</v>
      </c>
      <c r="T36" s="55"/>
      <c r="U36" s="54"/>
      <c r="V36" s="25"/>
      <c r="W36" s="26" t="str">
        <f t="shared" si="11"/>
        <v/>
      </c>
      <c r="X36" s="26" t="str">
        <f t="shared" si="9"/>
        <v/>
      </c>
      <c r="AA36" s="137"/>
    </row>
    <row r="37" spans="1:27" s="26" customFormat="1" ht="13.5" customHeight="1">
      <c r="A37" s="187">
        <f t="shared" si="7"/>
        <v>41666</v>
      </c>
      <c r="B37" s="188" t="str">
        <f t="shared" si="0"/>
        <v>月</v>
      </c>
      <c r="C37" s="189"/>
      <c r="D37" s="190">
        <v>0.41666666666666669</v>
      </c>
      <c r="E37" s="190">
        <v>0.83333333333333337</v>
      </c>
      <c r="F37" s="190">
        <v>5.2083333333333336E-2</v>
      </c>
      <c r="G37" s="250"/>
      <c r="H37" s="250"/>
      <c r="I37" s="250"/>
      <c r="J37" s="191">
        <f t="shared" si="1"/>
        <v>0.36458333333333337</v>
      </c>
      <c r="K37" s="191">
        <f t="shared" si="2"/>
        <v>0.36458333333333337</v>
      </c>
      <c r="L37" s="191" t="str">
        <f t="shared" si="8"/>
        <v/>
      </c>
      <c r="M37" s="191">
        <f t="shared" si="3"/>
        <v>3.125E-2</v>
      </c>
      <c r="N37" s="191" t="str">
        <f t="shared" si="4"/>
        <v/>
      </c>
      <c r="O37" s="191" t="str">
        <f t="shared" si="5"/>
        <v/>
      </c>
      <c r="P37" s="191" t="str">
        <f t="shared" si="6"/>
        <v/>
      </c>
      <c r="Q37" s="190"/>
      <c r="R37" s="251" t="s">
        <v>190</v>
      </c>
      <c r="S37" s="25" t="b">
        <f t="shared" si="10"/>
        <v>1</v>
      </c>
      <c r="T37" s="55"/>
      <c r="U37" s="54"/>
      <c r="V37" s="25"/>
      <c r="W37" s="26" t="str">
        <f t="shared" si="11"/>
        <v>OT</v>
      </c>
      <c r="X37" s="26" t="str">
        <f t="shared" si="9"/>
        <v/>
      </c>
      <c r="AA37" s="137"/>
    </row>
    <row r="38" spans="1:27" s="26" customFormat="1" ht="12">
      <c r="A38" s="187">
        <f t="shared" si="7"/>
        <v>41667</v>
      </c>
      <c r="B38" s="188" t="str">
        <f t="shared" si="0"/>
        <v>火</v>
      </c>
      <c r="C38" s="189"/>
      <c r="D38" s="190">
        <v>0.41666666666666669</v>
      </c>
      <c r="E38" s="190">
        <v>0.88541666666666663</v>
      </c>
      <c r="F38" s="190">
        <v>5.2083333333333336E-2</v>
      </c>
      <c r="G38" s="250"/>
      <c r="H38" s="250"/>
      <c r="I38" s="250"/>
      <c r="J38" s="191">
        <f t="shared" si="1"/>
        <v>0.41666666666666663</v>
      </c>
      <c r="K38" s="191">
        <f t="shared" si="2"/>
        <v>0.41666666666666663</v>
      </c>
      <c r="L38" s="191" t="str">
        <f t="shared" si="8"/>
        <v/>
      </c>
      <c r="M38" s="191">
        <f t="shared" si="3"/>
        <v>8.3333333333333329E-2</v>
      </c>
      <c r="N38" s="191" t="str">
        <f t="shared" si="4"/>
        <v/>
      </c>
      <c r="O38" s="191" t="str">
        <f t="shared" si="5"/>
        <v/>
      </c>
      <c r="P38" s="191" t="str">
        <f t="shared" si="6"/>
        <v/>
      </c>
      <c r="Q38" s="190"/>
      <c r="R38" s="251" t="s">
        <v>190</v>
      </c>
      <c r="S38" s="25" t="b">
        <f t="shared" si="10"/>
        <v>1</v>
      </c>
      <c r="T38" s="55"/>
      <c r="U38" s="54"/>
      <c r="V38" s="25"/>
      <c r="W38" s="26" t="str">
        <f t="shared" si="11"/>
        <v>OT</v>
      </c>
      <c r="X38" s="26" t="str">
        <f t="shared" si="9"/>
        <v/>
      </c>
      <c r="AA38" s="137"/>
    </row>
    <row r="39" spans="1:27" s="26" customFormat="1" ht="12">
      <c r="A39" s="187">
        <f t="shared" si="7"/>
        <v>41668</v>
      </c>
      <c r="B39" s="188" t="str">
        <f t="shared" si="0"/>
        <v>水</v>
      </c>
      <c r="C39" s="189"/>
      <c r="D39" s="190"/>
      <c r="E39" s="190"/>
      <c r="F39" s="190"/>
      <c r="G39" s="250"/>
      <c r="H39" s="250"/>
      <c r="I39" s="250">
        <v>0.33333333333333331</v>
      </c>
      <c r="J39" s="191" t="str">
        <f t="shared" si="1"/>
        <v/>
      </c>
      <c r="K39" s="191" t="str">
        <f t="shared" si="2"/>
        <v/>
      </c>
      <c r="L39" s="191" t="str">
        <f t="shared" si="8"/>
        <v/>
      </c>
      <c r="M39" s="191" t="str">
        <f t="shared" si="3"/>
        <v/>
      </c>
      <c r="N39" s="191" t="str">
        <f t="shared" si="4"/>
        <v/>
      </c>
      <c r="O39" s="191" t="str">
        <f t="shared" si="5"/>
        <v/>
      </c>
      <c r="P39" s="191" t="str">
        <f t="shared" si="6"/>
        <v/>
      </c>
      <c r="Q39" s="190"/>
      <c r="R39" s="251" t="s">
        <v>191</v>
      </c>
      <c r="S39" s="25" t="b">
        <f t="shared" si="10"/>
        <v>1</v>
      </c>
      <c r="T39" s="55"/>
      <c r="U39" s="54"/>
      <c r="V39" s="25"/>
      <c r="W39" s="26" t="str">
        <f t="shared" si="11"/>
        <v/>
      </c>
      <c r="X39" s="26" t="b">
        <f t="shared" si="9"/>
        <v>1</v>
      </c>
      <c r="AA39" s="137"/>
    </row>
    <row r="40" spans="1:27" s="26" customFormat="1" ht="12">
      <c r="A40" s="187">
        <f t="shared" si="7"/>
        <v>41669</v>
      </c>
      <c r="B40" s="188" t="str">
        <f t="shared" si="0"/>
        <v>木</v>
      </c>
      <c r="C40" s="189"/>
      <c r="D40" s="190"/>
      <c r="E40" s="190"/>
      <c r="F40" s="190"/>
      <c r="G40" s="250"/>
      <c r="H40" s="250">
        <v>0.33333333333333331</v>
      </c>
      <c r="I40" s="250"/>
      <c r="J40" s="191" t="str">
        <f t="shared" si="1"/>
        <v/>
      </c>
      <c r="K40" s="191" t="str">
        <f t="shared" si="2"/>
        <v/>
      </c>
      <c r="L40" s="191" t="str">
        <f t="shared" si="8"/>
        <v/>
      </c>
      <c r="M40" s="191" t="str">
        <f t="shared" si="3"/>
        <v/>
      </c>
      <c r="N40" s="191" t="str">
        <f t="shared" si="4"/>
        <v/>
      </c>
      <c r="O40" s="191" t="str">
        <f t="shared" si="5"/>
        <v/>
      </c>
      <c r="P40" s="191" t="str">
        <f t="shared" si="6"/>
        <v/>
      </c>
      <c r="Q40" s="190"/>
      <c r="R40" s="192" t="s">
        <v>192</v>
      </c>
      <c r="S40" s="25" t="b">
        <f t="shared" si="10"/>
        <v>1</v>
      </c>
      <c r="T40" s="55"/>
      <c r="U40" s="54"/>
      <c r="V40" s="25"/>
      <c r="W40" s="26" t="str">
        <f t="shared" si="11"/>
        <v>OT</v>
      </c>
      <c r="X40" s="26" t="b">
        <f t="shared" si="9"/>
        <v>1</v>
      </c>
      <c r="AA40" s="137"/>
    </row>
    <row r="41" spans="1:27" s="26" customFormat="1" ht="12">
      <c r="A41" s="187">
        <f t="shared" si="7"/>
        <v>41670</v>
      </c>
      <c r="B41" s="188" t="str">
        <f t="shared" si="0"/>
        <v>金</v>
      </c>
      <c r="C41" s="189" t="s">
        <v>104</v>
      </c>
      <c r="D41" s="190"/>
      <c r="E41" s="190"/>
      <c r="F41" s="190"/>
      <c r="G41" s="250"/>
      <c r="H41" s="250"/>
      <c r="I41" s="250"/>
      <c r="J41" s="191" t="str">
        <f t="shared" si="1"/>
        <v/>
      </c>
      <c r="K41" s="191" t="str">
        <f t="shared" si="2"/>
        <v/>
      </c>
      <c r="L41" s="191" t="str">
        <f t="shared" si="8"/>
        <v/>
      </c>
      <c r="M41" s="191" t="str">
        <f t="shared" si="3"/>
        <v/>
      </c>
      <c r="N41" s="191" t="str">
        <f t="shared" si="4"/>
        <v/>
      </c>
      <c r="O41" s="191" t="str">
        <f t="shared" si="5"/>
        <v/>
      </c>
      <c r="P41" s="191" t="str">
        <f t="shared" si="6"/>
        <v/>
      </c>
      <c r="Q41" s="190"/>
      <c r="R41" s="192"/>
      <c r="S41" s="25" t="b">
        <f t="shared" si="10"/>
        <v>0</v>
      </c>
      <c r="T41" s="55"/>
      <c r="U41" s="54"/>
      <c r="V41" s="25"/>
      <c r="W41" s="26" t="str">
        <f t="shared" si="11"/>
        <v/>
      </c>
      <c r="X41" s="26" t="str">
        <f t="shared" si="9"/>
        <v/>
      </c>
      <c r="AA41" s="137"/>
    </row>
    <row r="42" spans="1:27" s="46" customFormat="1" ht="23.25" customHeight="1">
      <c r="A42" s="43" t="s">
        <v>4</v>
      </c>
      <c r="B42" s="44"/>
      <c r="C42" s="44"/>
      <c r="D42" s="44"/>
      <c r="E42" s="44"/>
      <c r="F42" s="51">
        <f>SUM(F11:F41)</f>
        <v>0.84375000000000011</v>
      </c>
      <c r="G42" s="51">
        <f t="shared" ref="G42:P42" si="12">SUM(G11:G41)</f>
        <v>0</v>
      </c>
      <c r="H42" s="51">
        <f t="shared" si="12"/>
        <v>0.33333333333333331</v>
      </c>
      <c r="I42" s="51">
        <f>SUM(I11:I41)</f>
        <v>0.33333333333333331</v>
      </c>
      <c r="J42" s="52">
        <f t="shared" si="12"/>
        <v>5.708333333333333</v>
      </c>
      <c r="K42" s="52">
        <f t="shared" si="12"/>
        <v>5.708333333333333</v>
      </c>
      <c r="L42" s="51">
        <f t="shared" si="12"/>
        <v>0</v>
      </c>
      <c r="M42" s="51">
        <f t="shared" si="12"/>
        <v>0.37499999999999994</v>
      </c>
      <c r="N42" s="51">
        <f t="shared" si="12"/>
        <v>0</v>
      </c>
      <c r="O42" s="51">
        <f t="shared" si="12"/>
        <v>0</v>
      </c>
      <c r="P42" s="51">
        <f t="shared" si="12"/>
        <v>0</v>
      </c>
      <c r="Q42" s="51">
        <f>SUM(Q11:Q41)</f>
        <v>0</v>
      </c>
      <c r="R42" s="45"/>
    </row>
    <row r="43" spans="1:27" s="48" customFormat="1" ht="25.5" customHeight="1" thickBot="1">
      <c r="A43" s="270" t="s">
        <v>33</v>
      </c>
      <c r="B43" s="271"/>
      <c r="C43" s="271"/>
      <c r="D43" s="271"/>
      <c r="E43" s="271"/>
      <c r="F43" s="271"/>
      <c r="G43" s="271"/>
      <c r="H43" s="271"/>
      <c r="I43" s="271"/>
      <c r="J43" s="271"/>
      <c r="K43" s="271"/>
      <c r="L43" s="271"/>
      <c r="M43" s="271"/>
      <c r="N43" s="271"/>
      <c r="O43" s="271"/>
      <c r="P43" s="272"/>
      <c r="Q43" s="53">
        <f>FLOOR(IF(Q42&gt;=H42,+M42+O42+P42+Q42-H42,+M42+O42+P42),"0:15")</f>
        <v>0.375</v>
      </c>
      <c r="R43" s="74"/>
      <c r="S43" s="47"/>
      <c r="T43" s="50">
        <v>2</v>
      </c>
      <c r="U43" s="50">
        <v>3.75</v>
      </c>
      <c r="V43" s="49"/>
    </row>
    <row r="44" spans="1:27" s="16" customFormat="1" ht="12.75" thickTop="1">
      <c r="E44" s="8"/>
      <c r="F44" s="8"/>
      <c r="G44" s="8"/>
      <c r="H44" s="8"/>
      <c r="I44" s="8"/>
      <c r="J44" s="2"/>
      <c r="K44" s="2"/>
      <c r="L44" s="2"/>
      <c r="M44" s="2"/>
      <c r="N44" s="2"/>
      <c r="O44" s="2"/>
      <c r="P44" s="2"/>
      <c r="Q44" s="2"/>
      <c r="S44" s="17"/>
      <c r="T44" s="17"/>
      <c r="U44" s="17"/>
      <c r="V44" s="17"/>
    </row>
    <row r="45" spans="1:27" s="16" customFormat="1" ht="6" customHeight="1" thickBot="1">
      <c r="S45" s="17"/>
      <c r="T45" s="17"/>
      <c r="U45" s="17"/>
      <c r="V45" s="17"/>
    </row>
    <row r="46" spans="1:27" s="11" customFormat="1" ht="33.75" customHeight="1" thickTop="1">
      <c r="B46" s="273" t="s">
        <v>5</v>
      </c>
      <c r="C46" s="274"/>
      <c r="D46" s="275"/>
      <c r="E46" s="276" t="s">
        <v>3</v>
      </c>
      <c r="F46" s="274"/>
      <c r="G46" s="275"/>
      <c r="H46" s="276" t="s">
        <v>6</v>
      </c>
      <c r="I46" s="274"/>
      <c r="J46" s="277"/>
      <c r="K46" s="59"/>
      <c r="M46" s="278" t="s">
        <v>34</v>
      </c>
      <c r="N46" s="279"/>
      <c r="O46" s="279"/>
      <c r="P46" s="279"/>
      <c r="Q46" s="279"/>
      <c r="R46" s="280"/>
    </row>
    <row r="47" spans="1:27" s="11" customFormat="1" ht="31.5" customHeight="1">
      <c r="B47" s="36"/>
      <c r="C47" s="19"/>
      <c r="D47" s="20"/>
      <c r="E47" s="21"/>
      <c r="F47" s="33"/>
      <c r="G47" s="64"/>
      <c r="H47" s="21"/>
      <c r="I47" s="33"/>
      <c r="J47" s="37"/>
      <c r="K47" s="19"/>
      <c r="M47" s="283" t="s">
        <v>15</v>
      </c>
      <c r="N47" s="284"/>
      <c r="O47" s="284"/>
      <c r="P47" s="284"/>
      <c r="Q47" s="285"/>
      <c r="R47" s="34"/>
    </row>
    <row r="48" spans="1:27" s="11" customFormat="1" ht="25.5" customHeight="1">
      <c r="B48" s="36"/>
      <c r="C48" s="22"/>
      <c r="D48" s="20"/>
      <c r="E48" s="18"/>
      <c r="F48" s="22"/>
      <c r="G48" s="20"/>
      <c r="H48" s="18"/>
      <c r="I48" s="22"/>
      <c r="J48" s="38"/>
      <c r="K48" s="22"/>
      <c r="M48" s="283" t="s">
        <v>13</v>
      </c>
      <c r="N48" s="284"/>
      <c r="O48" s="284"/>
      <c r="P48" s="284"/>
      <c r="Q48" s="285"/>
      <c r="R48" s="34"/>
    </row>
    <row r="49" spans="2:37" s="11" customFormat="1" ht="39" customHeight="1" thickBot="1">
      <c r="B49" s="56"/>
      <c r="C49" s="57"/>
      <c r="D49" s="58"/>
      <c r="E49" s="61"/>
      <c r="F49" s="63"/>
      <c r="G49" s="62"/>
      <c r="H49" s="61"/>
      <c r="I49" s="63"/>
      <c r="J49" s="65"/>
      <c r="K49" s="60"/>
      <c r="M49" s="265" t="s">
        <v>14</v>
      </c>
      <c r="N49" s="266"/>
      <c r="O49" s="266"/>
      <c r="P49" s="266"/>
      <c r="Q49" s="267"/>
      <c r="R49" s="35"/>
    </row>
    <row r="50" spans="2:37" ht="14.25" thickTop="1"/>
    <row r="51" spans="2:37">
      <c r="B51" s="32" t="s">
        <v>115</v>
      </c>
      <c r="X51" s="31"/>
      <c r="Y51" s="31"/>
      <c r="Z51" s="31"/>
      <c r="AA51" s="31"/>
      <c r="AB51" s="31"/>
      <c r="AC51" s="31"/>
      <c r="AD51" s="31"/>
      <c r="AE51" s="31"/>
      <c r="AF51" s="31"/>
      <c r="AG51" s="31"/>
      <c r="AH51" s="31"/>
      <c r="AI51" s="31"/>
      <c r="AJ51" s="31"/>
      <c r="AK51" s="31"/>
    </row>
    <row r="52" spans="2:37" s="23" customFormat="1" ht="15.75" customHeight="1">
      <c r="B52" s="23" t="s">
        <v>35</v>
      </c>
      <c r="S52" s="24"/>
      <c r="T52" s="24"/>
      <c r="U52" s="24"/>
      <c r="V52" s="24"/>
    </row>
    <row r="53" spans="2:37" s="23" customFormat="1" ht="15.75" customHeight="1">
      <c r="B53" s="23" t="s">
        <v>162</v>
      </c>
      <c r="S53" s="24"/>
      <c r="T53" s="24"/>
      <c r="U53" s="24"/>
      <c r="V53" s="24"/>
    </row>
    <row r="54" spans="2:37" s="23" customFormat="1" ht="15.75" customHeight="1">
      <c r="B54" s="23" t="s">
        <v>12</v>
      </c>
      <c r="S54" s="24"/>
      <c r="T54" s="24"/>
      <c r="U54" s="24"/>
      <c r="V54" s="24"/>
    </row>
    <row r="55" spans="2:37" s="23" customFormat="1" ht="15.75" customHeight="1">
      <c r="B55" s="23" t="s">
        <v>36</v>
      </c>
      <c r="S55" s="24"/>
      <c r="T55" s="24"/>
      <c r="U55" s="24"/>
      <c r="V55" s="24"/>
    </row>
    <row r="56" spans="2:37" s="23" customFormat="1" ht="15.75" customHeight="1">
      <c r="B56" s="23" t="s">
        <v>37</v>
      </c>
      <c r="S56" s="24"/>
      <c r="T56" s="24"/>
      <c r="U56" s="24"/>
      <c r="V56" s="24"/>
    </row>
    <row r="57" spans="2:37" ht="15.75" customHeight="1">
      <c r="B57" s="8" t="s">
        <v>16</v>
      </c>
    </row>
    <row r="58" spans="2:37">
      <c r="B58" s="249" t="s">
        <v>161</v>
      </c>
    </row>
    <row r="59" spans="2:37">
      <c r="B59" s="143" t="s">
        <v>105</v>
      </c>
    </row>
    <row r="61" spans="2:37">
      <c r="B61" s="8" t="s">
        <v>109</v>
      </c>
    </row>
    <row r="62" spans="2:37">
      <c r="B62" s="8" t="s">
        <v>107</v>
      </c>
    </row>
    <row r="63" spans="2:37">
      <c r="B63" s="8" t="s">
        <v>108</v>
      </c>
    </row>
    <row r="65" spans="2:2">
      <c r="B65" s="8" t="s">
        <v>176</v>
      </c>
    </row>
    <row r="66" spans="2:2">
      <c r="B66" s="150" t="s">
        <v>175</v>
      </c>
    </row>
    <row r="67" spans="2:2">
      <c r="B67" s="150" t="s">
        <v>177</v>
      </c>
    </row>
    <row r="68" spans="2:2">
      <c r="B68" s="150" t="s">
        <v>178</v>
      </c>
    </row>
    <row r="69" spans="2:2">
      <c r="B69" s="150" t="s">
        <v>179</v>
      </c>
    </row>
  </sheetData>
  <sheetProtection formatCells="0" formatColumns="0" formatRows="0"/>
  <mergeCells count="12">
    <mergeCell ref="M47:Q47"/>
    <mergeCell ref="M48:Q48"/>
    <mergeCell ref="M49:Q49"/>
    <mergeCell ref="D4:F4"/>
    <mergeCell ref="D5:F5"/>
    <mergeCell ref="D6:F6"/>
    <mergeCell ref="D8:F8"/>
    <mergeCell ref="A43:P43"/>
    <mergeCell ref="B46:D46"/>
    <mergeCell ref="E46:G46"/>
    <mergeCell ref="H46:J46"/>
    <mergeCell ref="M46:R46"/>
  </mergeCells>
  <phoneticPr fontId="3"/>
  <conditionalFormatting sqref="T11:T41">
    <cfRule type="containsBlanks" dxfId="229" priority="227" stopIfTrue="1">
      <formula>LEN(TRIM(T11))=0</formula>
    </cfRule>
  </conditionalFormatting>
  <conditionalFormatting sqref="T11:T41">
    <cfRule type="notContainsBlanks" dxfId="228" priority="226" stopIfTrue="1">
      <formula>LEN(TRIM(T11))&gt;0</formula>
    </cfRule>
  </conditionalFormatting>
  <conditionalFormatting sqref="Q43">
    <cfRule type="cellIs" dxfId="227" priority="224" stopIfTrue="1" operator="greaterThan">
      <formula>3.75</formula>
    </cfRule>
    <cfRule type="cellIs" dxfId="226" priority="225" stopIfTrue="1" operator="between">
      <formula>1.875</formula>
      <formula>3.75</formula>
    </cfRule>
  </conditionalFormatting>
  <conditionalFormatting sqref="P11:P13 P15:P41 J11:O41">
    <cfRule type="notContainsBlanks" dxfId="225" priority="223" stopIfTrue="1">
      <formula>LEN(TRIM(J11))&gt;0</formula>
    </cfRule>
  </conditionalFormatting>
  <conditionalFormatting sqref="R48">
    <cfRule type="notContainsBlanks" dxfId="224" priority="222" stopIfTrue="1">
      <formula>LEN(TRIM(R48))&gt;0</formula>
    </cfRule>
  </conditionalFormatting>
  <conditionalFormatting sqref="Q43">
    <cfRule type="iconSet" priority="221">
      <iconSet iconSet="3Symbols" reverse="1">
        <cfvo type="percent" val="0"/>
        <cfvo type="formula" val="SampleTimesheet!$T$43"/>
        <cfvo type="formula" val="SampleTimesheet!$U$43"/>
      </iconSet>
    </cfRule>
  </conditionalFormatting>
  <conditionalFormatting sqref="G15:I15">
    <cfRule type="expression" dxfId="223" priority="220" stopIfTrue="1">
      <formula>$B15="土"</formula>
    </cfRule>
  </conditionalFormatting>
  <conditionalFormatting sqref="G15:I15">
    <cfRule type="expression" dxfId="222" priority="217" stopIfTrue="1">
      <formula>$B15="Sat"</formula>
    </cfRule>
    <cfRule type="expression" dxfId="221" priority="218" stopIfTrue="1">
      <formula>$B15="日"</formula>
    </cfRule>
    <cfRule type="expression" dxfId="220" priority="219" stopIfTrue="1">
      <formula>$B15="Sun"</formula>
    </cfRule>
  </conditionalFormatting>
  <conditionalFormatting sqref="G17:I17">
    <cfRule type="expression" dxfId="219" priority="216" stopIfTrue="1">
      <formula>$B17="土"</formula>
    </cfRule>
  </conditionalFormatting>
  <conditionalFormatting sqref="G17:I17">
    <cfRule type="expression" dxfId="218" priority="213" stopIfTrue="1">
      <formula>$B17="Sat"</formula>
    </cfRule>
    <cfRule type="expression" dxfId="217" priority="214" stopIfTrue="1">
      <formula>$B17="日"</formula>
    </cfRule>
    <cfRule type="expression" dxfId="216" priority="215" stopIfTrue="1">
      <formula>$B17="Sun"</formula>
    </cfRule>
  </conditionalFormatting>
  <conditionalFormatting sqref="G18:I18">
    <cfRule type="expression" dxfId="215" priority="212" stopIfTrue="1">
      <formula>$B18="土"</formula>
    </cfRule>
  </conditionalFormatting>
  <conditionalFormatting sqref="G18:I18">
    <cfRule type="expression" dxfId="214" priority="209" stopIfTrue="1">
      <formula>$B18="Sat"</formula>
    </cfRule>
    <cfRule type="expression" dxfId="213" priority="210" stopIfTrue="1">
      <formula>$B18="日"</formula>
    </cfRule>
    <cfRule type="expression" dxfId="212" priority="211" stopIfTrue="1">
      <formula>$B18="Sun"</formula>
    </cfRule>
  </conditionalFormatting>
  <conditionalFormatting sqref="G19:I19">
    <cfRule type="expression" dxfId="211" priority="208" stopIfTrue="1">
      <formula>$B19="土"</formula>
    </cfRule>
  </conditionalFormatting>
  <conditionalFormatting sqref="G19:I19">
    <cfRule type="expression" dxfId="210" priority="205" stopIfTrue="1">
      <formula>$B19="Sat"</formula>
    </cfRule>
    <cfRule type="expression" dxfId="209" priority="206" stopIfTrue="1">
      <formula>$B19="日"</formula>
    </cfRule>
    <cfRule type="expression" dxfId="208" priority="207" stopIfTrue="1">
      <formula>$B19="Sun"</formula>
    </cfRule>
  </conditionalFormatting>
  <conditionalFormatting sqref="G20:I20">
    <cfRule type="expression" dxfId="207" priority="204" stopIfTrue="1">
      <formula>$B20="土"</formula>
    </cfRule>
  </conditionalFormatting>
  <conditionalFormatting sqref="G20:I20">
    <cfRule type="expression" dxfId="206" priority="201" stopIfTrue="1">
      <formula>$B20="Sat"</formula>
    </cfRule>
    <cfRule type="expression" dxfId="205" priority="202" stopIfTrue="1">
      <formula>$B20="日"</formula>
    </cfRule>
    <cfRule type="expression" dxfId="204" priority="203" stopIfTrue="1">
      <formula>$B20="Sun"</formula>
    </cfRule>
  </conditionalFormatting>
  <conditionalFormatting sqref="G21:I21">
    <cfRule type="expression" dxfId="203" priority="200" stopIfTrue="1">
      <formula>$B21="土"</formula>
    </cfRule>
  </conditionalFormatting>
  <conditionalFormatting sqref="G21:I21">
    <cfRule type="expression" dxfId="202" priority="197" stopIfTrue="1">
      <formula>$B21="Sat"</formula>
    </cfRule>
    <cfRule type="expression" dxfId="201" priority="198" stopIfTrue="1">
      <formula>$B21="日"</formula>
    </cfRule>
    <cfRule type="expression" dxfId="200" priority="199" stopIfTrue="1">
      <formula>$B21="Sun"</formula>
    </cfRule>
  </conditionalFormatting>
  <conditionalFormatting sqref="G22:I22">
    <cfRule type="expression" dxfId="199" priority="196" stopIfTrue="1">
      <formula>$B22="土"</formula>
    </cfRule>
  </conditionalFormatting>
  <conditionalFormatting sqref="G22:I22">
    <cfRule type="expression" dxfId="198" priority="193" stopIfTrue="1">
      <formula>$B22="Sat"</formula>
    </cfRule>
    <cfRule type="expression" dxfId="197" priority="194" stopIfTrue="1">
      <formula>$B22="日"</formula>
    </cfRule>
    <cfRule type="expression" dxfId="196" priority="195" stopIfTrue="1">
      <formula>$B22="Sun"</formula>
    </cfRule>
  </conditionalFormatting>
  <conditionalFormatting sqref="G23:I23">
    <cfRule type="expression" dxfId="195" priority="192" stopIfTrue="1">
      <formula>$B23="土"</formula>
    </cfRule>
  </conditionalFormatting>
  <conditionalFormatting sqref="G23:I23">
    <cfRule type="expression" dxfId="194" priority="189" stopIfTrue="1">
      <formula>$B23="Sat"</formula>
    </cfRule>
    <cfRule type="expression" dxfId="193" priority="190" stopIfTrue="1">
      <formula>$B23="日"</formula>
    </cfRule>
    <cfRule type="expression" dxfId="192" priority="191" stopIfTrue="1">
      <formula>$B23="Sun"</formula>
    </cfRule>
  </conditionalFormatting>
  <conditionalFormatting sqref="G24:I24">
    <cfRule type="expression" dxfId="191" priority="188" stopIfTrue="1">
      <formula>$B24="土"</formula>
    </cfRule>
  </conditionalFormatting>
  <conditionalFormatting sqref="G24:I24">
    <cfRule type="expression" dxfId="190" priority="185" stopIfTrue="1">
      <formula>$B24="Sat"</formula>
    </cfRule>
    <cfRule type="expression" dxfId="189" priority="186" stopIfTrue="1">
      <formula>$B24="日"</formula>
    </cfRule>
    <cfRule type="expression" dxfId="188" priority="187" stopIfTrue="1">
      <formula>$B24="Sun"</formula>
    </cfRule>
  </conditionalFormatting>
  <conditionalFormatting sqref="G25:I25">
    <cfRule type="expression" dxfId="187" priority="184" stopIfTrue="1">
      <formula>$B25="土"</formula>
    </cfRule>
  </conditionalFormatting>
  <conditionalFormatting sqref="G25:I25">
    <cfRule type="expression" dxfId="186" priority="181" stopIfTrue="1">
      <formula>$B25="Sat"</formula>
    </cfRule>
    <cfRule type="expression" dxfId="185" priority="182" stopIfTrue="1">
      <formula>$B25="日"</formula>
    </cfRule>
    <cfRule type="expression" dxfId="184" priority="183" stopIfTrue="1">
      <formula>$B25="Sun"</formula>
    </cfRule>
  </conditionalFormatting>
  <conditionalFormatting sqref="G26:I26">
    <cfRule type="expression" dxfId="183" priority="180" stopIfTrue="1">
      <formula>$B26="土"</formula>
    </cfRule>
  </conditionalFormatting>
  <conditionalFormatting sqref="G26:I26">
    <cfRule type="expression" dxfId="182" priority="177" stopIfTrue="1">
      <formula>$B26="Sat"</formula>
    </cfRule>
    <cfRule type="expression" dxfId="181" priority="178" stopIfTrue="1">
      <formula>$B26="日"</formula>
    </cfRule>
    <cfRule type="expression" dxfId="180" priority="179" stopIfTrue="1">
      <formula>$B26="Sun"</formula>
    </cfRule>
  </conditionalFormatting>
  <conditionalFormatting sqref="G27:I27">
    <cfRule type="expression" dxfId="179" priority="176" stopIfTrue="1">
      <formula>$B27="土"</formula>
    </cfRule>
  </conditionalFormatting>
  <conditionalFormatting sqref="G27:I27">
    <cfRule type="expression" dxfId="178" priority="173" stopIfTrue="1">
      <formula>$B27="Sat"</formula>
    </cfRule>
    <cfRule type="expression" dxfId="177" priority="174" stopIfTrue="1">
      <formula>$B27="日"</formula>
    </cfRule>
    <cfRule type="expression" dxfId="176" priority="175" stopIfTrue="1">
      <formula>$B27="Sun"</formula>
    </cfRule>
  </conditionalFormatting>
  <conditionalFormatting sqref="G28:I28">
    <cfRule type="expression" dxfId="175" priority="172" stopIfTrue="1">
      <formula>$B28="土"</formula>
    </cfRule>
  </conditionalFormatting>
  <conditionalFormatting sqref="G28:I28">
    <cfRule type="expression" dxfId="174" priority="169" stopIfTrue="1">
      <formula>$B28="Sat"</formula>
    </cfRule>
    <cfRule type="expression" dxfId="173" priority="170" stopIfTrue="1">
      <formula>$B28="日"</formula>
    </cfRule>
    <cfRule type="expression" dxfId="172" priority="171" stopIfTrue="1">
      <formula>$B28="Sun"</formula>
    </cfRule>
  </conditionalFormatting>
  <conditionalFormatting sqref="G29:I29">
    <cfRule type="expression" dxfId="171" priority="168" stopIfTrue="1">
      <formula>$B29="土"</formula>
    </cfRule>
  </conditionalFormatting>
  <conditionalFormatting sqref="G29:I29">
    <cfRule type="expression" dxfId="170" priority="165" stopIfTrue="1">
      <formula>$B29="Sat"</formula>
    </cfRule>
    <cfRule type="expression" dxfId="169" priority="166" stopIfTrue="1">
      <formula>$B29="日"</formula>
    </cfRule>
    <cfRule type="expression" dxfId="168" priority="167" stopIfTrue="1">
      <formula>$B29="Sun"</formula>
    </cfRule>
  </conditionalFormatting>
  <conditionalFormatting sqref="G30:I30">
    <cfRule type="expression" dxfId="167" priority="164" stopIfTrue="1">
      <formula>$B30="土"</formula>
    </cfRule>
  </conditionalFormatting>
  <conditionalFormatting sqref="G30:I30">
    <cfRule type="expression" dxfId="166" priority="161" stopIfTrue="1">
      <formula>$B30="Sat"</formula>
    </cfRule>
    <cfRule type="expression" dxfId="165" priority="162" stopIfTrue="1">
      <formula>$B30="日"</formula>
    </cfRule>
    <cfRule type="expression" dxfId="164" priority="163" stopIfTrue="1">
      <formula>$B30="Sun"</formula>
    </cfRule>
  </conditionalFormatting>
  <conditionalFormatting sqref="G31:I31">
    <cfRule type="expression" dxfId="163" priority="160" stopIfTrue="1">
      <formula>$B31="土"</formula>
    </cfRule>
  </conditionalFormatting>
  <conditionalFormatting sqref="G31:I31">
    <cfRule type="expression" dxfId="162" priority="157" stopIfTrue="1">
      <formula>$B31="Sat"</formula>
    </cfRule>
    <cfRule type="expression" dxfId="161" priority="158" stopIfTrue="1">
      <formula>$B31="日"</formula>
    </cfRule>
    <cfRule type="expression" dxfId="160" priority="159" stopIfTrue="1">
      <formula>$B31="Sun"</formula>
    </cfRule>
  </conditionalFormatting>
  <conditionalFormatting sqref="G32:I32">
    <cfRule type="expression" dxfId="159" priority="156" stopIfTrue="1">
      <formula>$B32="土"</formula>
    </cfRule>
  </conditionalFormatting>
  <conditionalFormatting sqref="G32:I32">
    <cfRule type="expression" dxfId="158" priority="153" stopIfTrue="1">
      <formula>$B32="Sat"</formula>
    </cfRule>
    <cfRule type="expression" dxfId="157" priority="154" stopIfTrue="1">
      <formula>$B32="日"</formula>
    </cfRule>
    <cfRule type="expression" dxfId="156" priority="155" stopIfTrue="1">
      <formula>$B32="Sun"</formula>
    </cfRule>
  </conditionalFormatting>
  <conditionalFormatting sqref="G33:I33">
    <cfRule type="expression" dxfId="155" priority="152" stopIfTrue="1">
      <formula>$B33="土"</formula>
    </cfRule>
  </conditionalFormatting>
  <conditionalFormatting sqref="G33:I33">
    <cfRule type="expression" dxfId="154" priority="149" stopIfTrue="1">
      <formula>$B33="Sat"</formula>
    </cfRule>
    <cfRule type="expression" dxfId="153" priority="150" stopIfTrue="1">
      <formula>$B33="日"</formula>
    </cfRule>
    <cfRule type="expression" dxfId="152" priority="151" stopIfTrue="1">
      <formula>$B33="Sun"</formula>
    </cfRule>
  </conditionalFormatting>
  <conditionalFormatting sqref="G34:I34">
    <cfRule type="expression" dxfId="151" priority="148" stopIfTrue="1">
      <formula>$B34="土"</formula>
    </cfRule>
  </conditionalFormatting>
  <conditionalFormatting sqref="G34:I34">
    <cfRule type="expression" dxfId="150" priority="145" stopIfTrue="1">
      <formula>$B34="Sat"</formula>
    </cfRule>
    <cfRule type="expression" dxfId="149" priority="146" stopIfTrue="1">
      <formula>$B34="日"</formula>
    </cfRule>
    <cfRule type="expression" dxfId="148" priority="147" stopIfTrue="1">
      <formula>$B34="Sun"</formula>
    </cfRule>
  </conditionalFormatting>
  <conditionalFormatting sqref="G35:I35">
    <cfRule type="expression" dxfId="147" priority="144" stopIfTrue="1">
      <formula>$B35="土"</formula>
    </cfRule>
  </conditionalFormatting>
  <conditionalFormatting sqref="G35:I35">
    <cfRule type="expression" dxfId="146" priority="141" stopIfTrue="1">
      <formula>$B35="Sat"</formula>
    </cfRule>
    <cfRule type="expression" dxfId="145" priority="142" stopIfTrue="1">
      <formula>$B35="日"</formula>
    </cfRule>
    <cfRule type="expression" dxfId="144" priority="143" stopIfTrue="1">
      <formula>$B35="Sun"</formula>
    </cfRule>
  </conditionalFormatting>
  <conditionalFormatting sqref="G36:I36">
    <cfRule type="expression" dxfId="143" priority="140" stopIfTrue="1">
      <formula>$B36="土"</formula>
    </cfRule>
  </conditionalFormatting>
  <conditionalFormatting sqref="G36:I36">
    <cfRule type="expression" dxfId="142" priority="137" stopIfTrue="1">
      <formula>$B36="Sat"</formula>
    </cfRule>
    <cfRule type="expression" dxfId="141" priority="138" stopIfTrue="1">
      <formula>$B36="日"</formula>
    </cfRule>
    <cfRule type="expression" dxfId="140" priority="139" stopIfTrue="1">
      <formula>$B36="Sun"</formula>
    </cfRule>
  </conditionalFormatting>
  <conditionalFormatting sqref="G37:I37">
    <cfRule type="expression" dxfId="139" priority="136" stopIfTrue="1">
      <formula>$B37="土"</formula>
    </cfRule>
  </conditionalFormatting>
  <conditionalFormatting sqref="G37:I37">
    <cfRule type="expression" dxfId="138" priority="133" stopIfTrue="1">
      <formula>$B37="Sat"</formula>
    </cfRule>
    <cfRule type="expression" dxfId="137" priority="134" stopIfTrue="1">
      <formula>$B37="日"</formula>
    </cfRule>
    <cfRule type="expression" dxfId="136" priority="135" stopIfTrue="1">
      <formula>$B37="Sun"</formula>
    </cfRule>
  </conditionalFormatting>
  <conditionalFormatting sqref="G38:I38">
    <cfRule type="expression" dxfId="135" priority="132" stopIfTrue="1">
      <formula>$B38="土"</formula>
    </cfRule>
  </conditionalFormatting>
  <conditionalFormatting sqref="G38:I38">
    <cfRule type="expression" dxfId="134" priority="129" stopIfTrue="1">
      <formula>$B38="Sat"</formula>
    </cfRule>
    <cfRule type="expression" dxfId="133" priority="130" stopIfTrue="1">
      <formula>$B38="日"</formula>
    </cfRule>
    <cfRule type="expression" dxfId="132" priority="131" stopIfTrue="1">
      <formula>$B38="Sun"</formula>
    </cfRule>
  </conditionalFormatting>
  <conditionalFormatting sqref="G39:I39">
    <cfRule type="expression" dxfId="131" priority="128" stopIfTrue="1">
      <formula>$B39="土"</formula>
    </cfRule>
  </conditionalFormatting>
  <conditionalFormatting sqref="G39:I39">
    <cfRule type="expression" dxfId="130" priority="125" stopIfTrue="1">
      <formula>$B39="Sat"</formula>
    </cfRule>
    <cfRule type="expression" dxfId="129" priority="126" stopIfTrue="1">
      <formula>$B39="日"</formula>
    </cfRule>
    <cfRule type="expression" dxfId="128" priority="127" stopIfTrue="1">
      <formula>$B39="Sun"</formula>
    </cfRule>
  </conditionalFormatting>
  <conditionalFormatting sqref="G40:I40">
    <cfRule type="expression" dxfId="127" priority="124" stopIfTrue="1">
      <formula>$B40="土"</formula>
    </cfRule>
  </conditionalFormatting>
  <conditionalFormatting sqref="G40:I40">
    <cfRule type="expression" dxfId="126" priority="121" stopIfTrue="1">
      <formula>$B40="Sat"</formula>
    </cfRule>
    <cfRule type="expression" dxfId="125" priority="122" stopIfTrue="1">
      <formula>$B40="日"</formula>
    </cfRule>
    <cfRule type="expression" dxfId="124" priority="123" stopIfTrue="1">
      <formula>$B40="Sun"</formula>
    </cfRule>
  </conditionalFormatting>
  <conditionalFormatting sqref="G41:I41">
    <cfRule type="expression" dxfId="123" priority="120" stopIfTrue="1">
      <formula>$B41="土"</formula>
    </cfRule>
  </conditionalFormatting>
  <conditionalFormatting sqref="G41:I41">
    <cfRule type="expression" dxfId="122" priority="117" stopIfTrue="1">
      <formula>$B41="Sat"</formula>
    </cfRule>
    <cfRule type="expression" dxfId="121" priority="118" stopIfTrue="1">
      <formula>$B41="日"</formula>
    </cfRule>
    <cfRule type="expression" dxfId="120" priority="119" stopIfTrue="1">
      <formula>$B41="Sun"</formula>
    </cfRule>
  </conditionalFormatting>
  <conditionalFormatting sqref="G13:I13">
    <cfRule type="expression" dxfId="119" priority="113" stopIfTrue="1">
      <formula>$B13="Sat"</formula>
    </cfRule>
    <cfRule type="expression" dxfId="118" priority="114" stopIfTrue="1">
      <formula>$B13="日"</formula>
    </cfRule>
    <cfRule type="expression" dxfId="117" priority="115" stopIfTrue="1">
      <formula>$B13="Sun"</formula>
    </cfRule>
    <cfRule type="expression" dxfId="116" priority="116" stopIfTrue="1">
      <formula>$B13="土"</formula>
    </cfRule>
  </conditionalFormatting>
  <conditionalFormatting sqref="G14:I14">
    <cfRule type="expression" dxfId="115" priority="109" stopIfTrue="1">
      <formula>$B14="Sat"</formula>
    </cfRule>
    <cfRule type="expression" dxfId="114" priority="110" stopIfTrue="1">
      <formula>$B14="日"</formula>
    </cfRule>
    <cfRule type="expression" dxfId="113" priority="111" stopIfTrue="1">
      <formula>$B14="Sun"</formula>
    </cfRule>
    <cfRule type="expression" dxfId="112" priority="112" stopIfTrue="1">
      <formula>$B14="土"</formula>
    </cfRule>
  </conditionalFormatting>
  <conditionalFormatting sqref="G16:I16">
    <cfRule type="expression" dxfId="111" priority="105" stopIfTrue="1">
      <formula>$B16="日"</formula>
    </cfRule>
    <cfRule type="expression" dxfId="110" priority="106" stopIfTrue="1">
      <formula>$B16="Sat"</formula>
    </cfRule>
    <cfRule type="expression" dxfId="109" priority="107" stopIfTrue="1">
      <formula>$B16="Sun"</formula>
    </cfRule>
    <cfRule type="expression" dxfId="108" priority="108" stopIfTrue="1">
      <formula>$B16="土"</formula>
    </cfRule>
  </conditionalFormatting>
  <conditionalFormatting sqref="H15:I15">
    <cfRule type="expression" dxfId="107" priority="101" stopIfTrue="1">
      <formula>$B15="Sat"</formula>
    </cfRule>
    <cfRule type="expression" dxfId="106" priority="102" stopIfTrue="1">
      <formula>$B15="日"</formula>
    </cfRule>
    <cfRule type="expression" dxfId="105" priority="103" stopIfTrue="1">
      <formula>$B15="Sun"</formula>
    </cfRule>
    <cfRule type="expression" dxfId="104" priority="104" stopIfTrue="1">
      <formula>$B15="土"</formula>
    </cfRule>
  </conditionalFormatting>
  <conditionalFormatting sqref="H16:I16">
    <cfRule type="expression" dxfId="103" priority="97" stopIfTrue="1">
      <formula>$B16="Sat"</formula>
    </cfRule>
    <cfRule type="expression" dxfId="102" priority="98" stopIfTrue="1">
      <formula>$B16="日"</formula>
    </cfRule>
    <cfRule type="expression" dxfId="101" priority="99" stopIfTrue="1">
      <formula>$B16="Sun"</formula>
    </cfRule>
    <cfRule type="expression" dxfId="100" priority="100" stopIfTrue="1">
      <formula>$B16="土"</formula>
    </cfRule>
  </conditionalFormatting>
  <conditionalFormatting sqref="H17:I17">
    <cfRule type="expression" dxfId="99" priority="93" stopIfTrue="1">
      <formula>$B17="Sat"</formula>
    </cfRule>
    <cfRule type="expression" dxfId="98" priority="94" stopIfTrue="1">
      <formula>$B17="日"</formula>
    </cfRule>
    <cfRule type="expression" dxfId="97" priority="95" stopIfTrue="1">
      <formula>$B17="Sun"</formula>
    </cfRule>
    <cfRule type="expression" dxfId="96" priority="96" stopIfTrue="1">
      <formula>$B17="土"</formula>
    </cfRule>
  </conditionalFormatting>
  <conditionalFormatting sqref="H18:I18">
    <cfRule type="expression" dxfId="95" priority="89" stopIfTrue="1">
      <formula>$B18="Sat"</formula>
    </cfRule>
    <cfRule type="expression" dxfId="94" priority="90" stopIfTrue="1">
      <formula>$B18="日"</formula>
    </cfRule>
    <cfRule type="expression" dxfId="93" priority="91" stopIfTrue="1">
      <formula>$B18="Sun"</formula>
    </cfRule>
    <cfRule type="expression" dxfId="92" priority="92" stopIfTrue="1">
      <formula>$B18="土"</formula>
    </cfRule>
  </conditionalFormatting>
  <conditionalFormatting sqref="H21:I21">
    <cfRule type="expression" dxfId="91" priority="85" stopIfTrue="1">
      <formula>$B21="Sat"</formula>
    </cfRule>
    <cfRule type="expression" dxfId="90" priority="86" stopIfTrue="1">
      <formula>$B21="日"</formula>
    </cfRule>
    <cfRule type="expression" dxfId="89" priority="87" stopIfTrue="1">
      <formula>$B21="Sun"</formula>
    </cfRule>
    <cfRule type="expression" dxfId="88" priority="88" stopIfTrue="1">
      <formula>$B21="土"</formula>
    </cfRule>
  </conditionalFormatting>
  <conditionalFormatting sqref="H22:I22">
    <cfRule type="expression" dxfId="87" priority="81" stopIfTrue="1">
      <formula>$B22="Sat"</formula>
    </cfRule>
    <cfRule type="expression" dxfId="86" priority="82" stopIfTrue="1">
      <formula>$B22="日"</formula>
    </cfRule>
    <cfRule type="expression" dxfId="85" priority="83" stopIfTrue="1">
      <formula>$B22="Sun"</formula>
    </cfRule>
    <cfRule type="expression" dxfId="84" priority="84" stopIfTrue="1">
      <formula>$B22="土"</formula>
    </cfRule>
  </conditionalFormatting>
  <conditionalFormatting sqref="H23:I23">
    <cfRule type="expression" dxfId="83" priority="77" stopIfTrue="1">
      <formula>$B23="Sat"</formula>
    </cfRule>
    <cfRule type="expression" dxfId="82" priority="78" stopIfTrue="1">
      <formula>$B23="日"</formula>
    </cfRule>
    <cfRule type="expression" dxfId="81" priority="79" stopIfTrue="1">
      <formula>$B23="Sun"</formula>
    </cfRule>
    <cfRule type="expression" dxfId="80" priority="80" stopIfTrue="1">
      <formula>$B23="土"</formula>
    </cfRule>
  </conditionalFormatting>
  <conditionalFormatting sqref="H24:I24">
    <cfRule type="expression" dxfId="79" priority="73" stopIfTrue="1">
      <formula>$B24="Sat"</formula>
    </cfRule>
    <cfRule type="expression" dxfId="78" priority="74" stopIfTrue="1">
      <formula>$B24="日"</formula>
    </cfRule>
    <cfRule type="expression" dxfId="77" priority="75" stopIfTrue="1">
      <formula>$B24="Sun"</formula>
    </cfRule>
    <cfRule type="expression" dxfId="76" priority="76" stopIfTrue="1">
      <formula>$B24="土"</formula>
    </cfRule>
  </conditionalFormatting>
  <conditionalFormatting sqref="H25:I25">
    <cfRule type="expression" dxfId="75" priority="69" stopIfTrue="1">
      <formula>$B25="Sat"</formula>
    </cfRule>
    <cfRule type="expression" dxfId="74" priority="70" stopIfTrue="1">
      <formula>$B25="日"</formula>
    </cfRule>
    <cfRule type="expression" dxfId="73" priority="71" stopIfTrue="1">
      <formula>$B25="Sun"</formula>
    </cfRule>
    <cfRule type="expression" dxfId="72" priority="72" stopIfTrue="1">
      <formula>$B25="土"</formula>
    </cfRule>
  </conditionalFormatting>
  <conditionalFormatting sqref="H28:I28">
    <cfRule type="expression" dxfId="71" priority="65" stopIfTrue="1">
      <formula>$B28="Sat"</formula>
    </cfRule>
    <cfRule type="expression" dxfId="70" priority="66" stopIfTrue="1">
      <formula>$B28="日"</formula>
    </cfRule>
    <cfRule type="expression" dxfId="69" priority="67" stopIfTrue="1">
      <formula>$B28="Sun"</formula>
    </cfRule>
    <cfRule type="expression" dxfId="68" priority="68" stopIfTrue="1">
      <formula>$B28="土"</formula>
    </cfRule>
  </conditionalFormatting>
  <conditionalFormatting sqref="H29:I29">
    <cfRule type="expression" dxfId="67" priority="61" stopIfTrue="1">
      <formula>$B29="Sat"</formula>
    </cfRule>
    <cfRule type="expression" dxfId="66" priority="62" stopIfTrue="1">
      <formula>$B29="日"</formula>
    </cfRule>
    <cfRule type="expression" dxfId="65" priority="63" stopIfTrue="1">
      <formula>$B29="Sun"</formula>
    </cfRule>
    <cfRule type="expression" dxfId="64" priority="64" stopIfTrue="1">
      <formula>$B29="土"</formula>
    </cfRule>
  </conditionalFormatting>
  <conditionalFormatting sqref="H30:I30">
    <cfRule type="expression" dxfId="63" priority="57" stopIfTrue="1">
      <formula>$B30="Sat"</formula>
    </cfRule>
    <cfRule type="expression" dxfId="62" priority="58" stopIfTrue="1">
      <formula>$B30="日"</formula>
    </cfRule>
    <cfRule type="expression" dxfId="61" priority="59" stopIfTrue="1">
      <formula>$B30="Sun"</formula>
    </cfRule>
    <cfRule type="expression" dxfId="60" priority="60" stopIfTrue="1">
      <formula>$B30="土"</formula>
    </cfRule>
  </conditionalFormatting>
  <conditionalFormatting sqref="H31:I31">
    <cfRule type="expression" dxfId="59" priority="53" stopIfTrue="1">
      <formula>$B31="Sat"</formula>
    </cfRule>
    <cfRule type="expression" dxfId="58" priority="54" stopIfTrue="1">
      <formula>$B31="日"</formula>
    </cfRule>
    <cfRule type="expression" dxfId="57" priority="55" stopIfTrue="1">
      <formula>$B31="Sun"</formula>
    </cfRule>
    <cfRule type="expression" dxfId="56" priority="56" stopIfTrue="1">
      <formula>$B31="土"</formula>
    </cfRule>
  </conditionalFormatting>
  <conditionalFormatting sqref="H32:I32">
    <cfRule type="expression" dxfId="55" priority="49" stopIfTrue="1">
      <formula>$B32="Sat"</formula>
    </cfRule>
    <cfRule type="expression" dxfId="54" priority="50" stopIfTrue="1">
      <formula>$B32="日"</formula>
    </cfRule>
    <cfRule type="expression" dxfId="53" priority="51" stopIfTrue="1">
      <formula>$B32="Sun"</formula>
    </cfRule>
    <cfRule type="expression" dxfId="52" priority="52" stopIfTrue="1">
      <formula>$B32="土"</formula>
    </cfRule>
  </conditionalFormatting>
  <conditionalFormatting sqref="H35:I35">
    <cfRule type="expression" dxfId="51" priority="45" stopIfTrue="1">
      <formula>$B35="Sat"</formula>
    </cfRule>
    <cfRule type="expression" dxfId="50" priority="46" stopIfTrue="1">
      <formula>$B35="日"</formula>
    </cfRule>
    <cfRule type="expression" dxfId="49" priority="47" stopIfTrue="1">
      <formula>$B35="Sun"</formula>
    </cfRule>
    <cfRule type="expression" dxfId="48" priority="48" stopIfTrue="1">
      <formula>$B35="土"</formula>
    </cfRule>
  </conditionalFormatting>
  <conditionalFormatting sqref="H36:I36">
    <cfRule type="expression" dxfId="47" priority="41" stopIfTrue="1">
      <formula>$B36="Sat"</formula>
    </cfRule>
    <cfRule type="expression" dxfId="46" priority="42" stopIfTrue="1">
      <formula>$B36="日"</formula>
    </cfRule>
    <cfRule type="expression" dxfId="45" priority="43" stopIfTrue="1">
      <formula>$B36="Sun"</formula>
    </cfRule>
    <cfRule type="expression" dxfId="44" priority="44" stopIfTrue="1">
      <formula>$B36="土"</formula>
    </cfRule>
  </conditionalFormatting>
  <conditionalFormatting sqref="H37:I37">
    <cfRule type="expression" dxfId="43" priority="37" stopIfTrue="1">
      <formula>$B37="Sat"</formula>
    </cfRule>
    <cfRule type="expression" dxfId="42" priority="38" stopIfTrue="1">
      <formula>$B37="日"</formula>
    </cfRule>
    <cfRule type="expression" dxfId="41" priority="39" stopIfTrue="1">
      <formula>$B37="Sun"</formula>
    </cfRule>
    <cfRule type="expression" dxfId="40" priority="40" stopIfTrue="1">
      <formula>$B37="土"</formula>
    </cfRule>
  </conditionalFormatting>
  <conditionalFormatting sqref="H38:I38">
    <cfRule type="expression" dxfId="39" priority="33" stopIfTrue="1">
      <formula>$B38="Sat"</formula>
    </cfRule>
    <cfRule type="expression" dxfId="38" priority="34" stopIfTrue="1">
      <formula>$B38="日"</formula>
    </cfRule>
    <cfRule type="expression" dxfId="37" priority="35" stopIfTrue="1">
      <formula>$B38="Sun"</formula>
    </cfRule>
    <cfRule type="expression" dxfId="36" priority="36" stopIfTrue="1">
      <formula>$B38="土"</formula>
    </cfRule>
  </conditionalFormatting>
  <conditionalFormatting sqref="H39:I39">
    <cfRule type="expression" dxfId="35" priority="29" stopIfTrue="1">
      <formula>$B39="Sat"</formula>
    </cfRule>
    <cfRule type="expression" dxfId="34" priority="30" stopIfTrue="1">
      <formula>$B39="日"</formula>
    </cfRule>
    <cfRule type="expression" dxfId="33" priority="31" stopIfTrue="1">
      <formula>$B39="Sun"</formula>
    </cfRule>
    <cfRule type="expression" dxfId="32" priority="32" stopIfTrue="1">
      <formula>$B39="土"</formula>
    </cfRule>
  </conditionalFormatting>
  <conditionalFormatting sqref="G12:I12">
    <cfRule type="expression" dxfId="31" priority="28" stopIfTrue="1">
      <formula>$B12="土"</formula>
    </cfRule>
  </conditionalFormatting>
  <conditionalFormatting sqref="G12:I12">
    <cfRule type="expression" dxfId="30" priority="25" stopIfTrue="1">
      <formula>$B12="Sat"</formula>
    </cfRule>
    <cfRule type="expression" dxfId="29" priority="26" stopIfTrue="1">
      <formula>$B12="日"</formula>
    </cfRule>
    <cfRule type="expression" dxfId="28" priority="27" stopIfTrue="1">
      <formula>$B12="Sun"</formula>
    </cfRule>
  </conditionalFormatting>
  <conditionalFormatting sqref="I39">
    <cfRule type="expression" dxfId="27" priority="24" stopIfTrue="1">
      <formula>$B39="土"</formula>
    </cfRule>
  </conditionalFormatting>
  <conditionalFormatting sqref="I39">
    <cfRule type="expression" dxfId="26" priority="21" stopIfTrue="1">
      <formula>$B39="Sat"</formula>
    </cfRule>
    <cfRule type="expression" dxfId="25" priority="22" stopIfTrue="1">
      <formula>$B39="日"</formula>
    </cfRule>
    <cfRule type="expression" dxfId="24" priority="23" stopIfTrue="1">
      <formula>$B39="Sun"</formula>
    </cfRule>
  </conditionalFormatting>
  <conditionalFormatting sqref="I39">
    <cfRule type="expression" dxfId="23" priority="17" stopIfTrue="1">
      <formula>$B39="Sat"</formula>
    </cfRule>
    <cfRule type="expression" dxfId="22" priority="18" stopIfTrue="1">
      <formula>$B39="日"</formula>
    </cfRule>
    <cfRule type="expression" dxfId="21" priority="19" stopIfTrue="1">
      <formula>$B39="Sun"</formula>
    </cfRule>
    <cfRule type="expression" dxfId="20" priority="20" stopIfTrue="1">
      <formula>$B39="土"</formula>
    </cfRule>
  </conditionalFormatting>
  <conditionalFormatting sqref="I40">
    <cfRule type="expression" dxfId="19" priority="16" stopIfTrue="1">
      <formula>$B40="土"</formula>
    </cfRule>
  </conditionalFormatting>
  <conditionalFormatting sqref="I40">
    <cfRule type="expression" dxfId="18" priority="13" stopIfTrue="1">
      <formula>$B40="Sat"</formula>
    </cfRule>
    <cfRule type="expression" dxfId="17" priority="14" stopIfTrue="1">
      <formula>$B40="日"</formula>
    </cfRule>
    <cfRule type="expression" dxfId="16" priority="15" stopIfTrue="1">
      <formula>$B40="Sun"</formula>
    </cfRule>
  </conditionalFormatting>
  <conditionalFormatting sqref="I40">
    <cfRule type="expression" dxfId="15" priority="9" stopIfTrue="1">
      <formula>$B40="Sat"</formula>
    </cfRule>
    <cfRule type="expression" dxfId="14" priority="10" stopIfTrue="1">
      <formula>$B40="日"</formula>
    </cfRule>
    <cfRule type="expression" dxfId="13" priority="11" stopIfTrue="1">
      <formula>$B40="Sun"</formula>
    </cfRule>
    <cfRule type="expression" dxfId="12" priority="12" stopIfTrue="1">
      <formula>$B40="土"</formula>
    </cfRule>
  </conditionalFormatting>
  <conditionalFormatting sqref="I41">
    <cfRule type="expression" dxfId="11" priority="8" stopIfTrue="1">
      <formula>$B41="土"</formula>
    </cfRule>
  </conditionalFormatting>
  <conditionalFormatting sqref="I41">
    <cfRule type="expression" dxfId="10" priority="5" stopIfTrue="1">
      <formula>$B41="Sat"</formula>
    </cfRule>
    <cfRule type="expression" dxfId="9" priority="6" stopIfTrue="1">
      <formula>$B41="日"</formula>
    </cfRule>
    <cfRule type="expression" dxfId="8" priority="7" stopIfTrue="1">
      <formula>$B41="Sun"</formula>
    </cfRule>
  </conditionalFormatting>
  <conditionalFormatting sqref="I41">
    <cfRule type="expression" dxfId="7" priority="1" stopIfTrue="1">
      <formula>$B41="Sat"</formula>
    </cfRule>
    <cfRule type="expression" dxfId="6" priority="2" stopIfTrue="1">
      <formula>$B41="日"</formula>
    </cfRule>
    <cfRule type="expression" dxfId="5" priority="3" stopIfTrue="1">
      <formula>$B41="Sun"</formula>
    </cfRule>
    <cfRule type="expression" dxfId="4" priority="4" stopIfTrue="1">
      <formula>$B41="土"</formula>
    </cfRule>
  </conditionalFormatting>
  <dataValidations count="12">
    <dataValidation type="time" imeMode="disabled" allowBlank="1" showErrorMessage="1" errorTitle="Out time input error" error="Please input in h:mm format, e.g &quot;17:45&quot;! Available value: 0:00 ~ 23:59. Please input &quot;0:00&quot; for &quot;24:00&quot;, &quot;1:00&quot; for &quot;25:00&quot; in colunm [退社]" sqref="E11:E41">
      <formula1>0</formula1>
      <formula2>0.999305555555556</formula2>
    </dataValidation>
    <dataValidation type="time" allowBlank="1" showErrorMessage="1" errorTitle="In time input error" error="Please input in h:mm format, e.g &quot;9:00&quot;. Available value: 6:00 ~ 23:59." sqref="D11:D41">
      <formula1>0.25</formula1>
      <formula2>0.999305555555556</formula2>
    </dataValidation>
    <dataValidation type="time" allowBlank="1" showInputMessage="1" showErrorMessage="1" sqref="G11:I41">
      <formula1>0</formula1>
      <formula2>0.999305555555556</formula2>
    </dataValidation>
    <dataValidation type="list" allowBlank="1" showInputMessage="1" showErrorMessage="1" sqref="D8:F8">
      <formula1>"Ukeoi, Haken, HeadOffice"</formula1>
    </dataValidation>
    <dataValidation type="whole" imeMode="off" allowBlank="1" showErrorMessage="1" errorTitle="Invalid input" error="Please input year in yyyy format!" sqref="U7 F7">
      <formula1>1970</formula1>
      <formula2>9999</formula2>
    </dataValidation>
    <dataValidation type="whole" imeMode="off" allowBlank="1" showErrorMessage="1" errorTitle="Invalid month" error="Please input month here!" sqref="T7 E7">
      <formula1>1</formula1>
      <formula2>12</formula2>
    </dataValidation>
    <dataValidation type="whole" imeMode="off" allowBlank="1" showErrorMessage="1" errorTitle="Invalid day" error="Please input day!" sqref="S7 D7">
      <formula1>1</formula1>
      <formula2>31</formula2>
    </dataValidation>
    <dataValidation type="time" allowBlank="1" showErrorMessage="1" errorTitle="Break time input error" error="Please input in h:mm format, e.g &quot;1:15&quot;!" sqref="F42">
      <formula1>0</formula1>
      <formula2>0.999305555555556</formula2>
    </dataValidation>
    <dataValidation type="time" allowBlank="1" showErrorMessage="1" errorTitle="Leave time input error" error="Please input in h:mm format, e.g &quot;4:00&quot;!" sqref="G42:I42">
      <formula1>0</formula1>
      <formula2>0.999305555555556</formula2>
    </dataValidation>
    <dataValidation type="time" imeMode="disabled" allowBlank="1" showErrorMessage="1" errorTitle="Break time input error" error="Please input in h:mm format, e.g &quot;1:15&quot;!" sqref="F11:F41">
      <formula1>0</formula1>
      <formula2>0.999305555555556</formula2>
    </dataValidation>
    <dataValidation type="list" allowBlank="1" showInputMessage="1" showErrorMessage="1" sqref="C11:C41">
      <formula1>$V$11:$V$12</formula1>
    </dataValidation>
    <dataValidation type="time" imeMode="disabled" allowBlank="1" showErrorMessage="1" errorTitle="Invalid hour" error="Please input valid working hour in [h]:mm format!" sqref="R7:R8">
      <formula1>0.0104166666666667</formula1>
      <formula2>0.989583333333333</formula2>
    </dataValidation>
  </dataValidations>
  <printOptions horizontalCentered="1"/>
  <pageMargins left="0.6692913385826772" right="0.39370078740157483" top="1.1811023622047245" bottom="0.98425196850393704" header="0.51181102362204722" footer="0.51181102362204722"/>
  <pageSetup paperSize="9" scale="79" orientation="portrait" r:id="rId1"/>
  <headerFooter alignWithMargins="0">
    <oddHeader>&amp;L&amp;"Arial Black,Regular"&amp;10FPT Japan Co., Ltd.&amp;R&amp;"Arial Narrow,Regular"&amp;8Tokyo Tatemono Gotanda Building 8F
Higashi Gotanda 1-6-3
Shinagawa-ku, Tokyo 141-0022</oddHeader>
    <oddFooter>&amp;L40-j/BM/NS/HDCV/FJP&amp;CCONFIDENTIAL / 秘&amp;R&amp;P/&amp;N</oddFooter>
  </headerFooter>
  <legacyDrawing r:id="rId2"/>
</worksheet>
</file>

<file path=xl/worksheets/sheet3.xml><?xml version="1.0" encoding="utf-8"?>
<worksheet xmlns="http://schemas.openxmlformats.org/spreadsheetml/2006/main" xmlns:r="http://schemas.openxmlformats.org/officeDocument/2006/relationships">
  <sheetPr codeName="Sheet5">
    <tabColor rgb="FFFF0000"/>
  </sheetPr>
  <dimension ref="A1:Q18"/>
  <sheetViews>
    <sheetView zoomScaleNormal="100" workbookViewId="0">
      <selection activeCell="M32" sqref="M32"/>
    </sheetView>
  </sheetViews>
  <sheetFormatPr defaultRowHeight="13.5"/>
  <cols>
    <col min="1" max="1" width="8.75" style="75" customWidth="1"/>
    <col min="2" max="2" width="7.125" style="75" customWidth="1"/>
    <col min="3" max="3" width="5.375" style="75" customWidth="1"/>
    <col min="4" max="4" width="7.25" style="75" customWidth="1"/>
    <col min="5" max="5" width="2.375" style="75" customWidth="1"/>
    <col min="6" max="6" width="8.375" style="75" customWidth="1"/>
    <col min="7" max="12" width="6.25" style="75" customWidth="1"/>
    <col min="13" max="13" width="26.375" style="75" customWidth="1"/>
    <col min="14" max="14" width="8.75" style="75" customWidth="1"/>
    <col min="15" max="15" width="10.25" style="75" customWidth="1"/>
    <col min="16" max="16" width="13.625" style="75" customWidth="1"/>
    <col min="17" max="17" width="11.375" style="75" customWidth="1"/>
    <col min="18" max="16384" width="9" style="75"/>
  </cols>
  <sheetData>
    <row r="1" spans="1:17" ht="6.75" customHeight="1"/>
    <row r="2" spans="1:17" s="67" customFormat="1" ht="24">
      <c r="E2" s="68"/>
      <c r="F2" s="68"/>
      <c r="H2" s="69" t="s">
        <v>38</v>
      </c>
      <c r="I2" s="69"/>
      <c r="J2" s="69"/>
      <c r="K2" s="69"/>
      <c r="L2" s="69"/>
    </row>
    <row r="3" spans="1:17" s="67" customFormat="1" ht="12" customHeight="1">
      <c r="E3" s="68"/>
      <c r="F3" s="68"/>
      <c r="H3" s="69"/>
      <c r="I3" s="69"/>
      <c r="J3" s="69"/>
      <c r="K3" s="69"/>
      <c r="L3" s="69"/>
    </row>
    <row r="4" spans="1:17" s="71" customFormat="1" ht="25.5" customHeight="1">
      <c r="A4" s="70" t="s">
        <v>39</v>
      </c>
      <c r="B4" s="286" t="str">
        <f>Timesheet!D4</f>
        <v>Dang Thanh Tung</v>
      </c>
      <c r="C4" s="286"/>
      <c r="D4" s="286"/>
      <c r="E4" s="286"/>
      <c r="F4" s="286"/>
      <c r="H4" s="296" t="s">
        <v>40</v>
      </c>
      <c r="I4" s="296"/>
      <c r="J4" s="296"/>
      <c r="K4" s="72"/>
      <c r="L4" s="72"/>
      <c r="M4" s="73">
        <f>Timesheet!D5</f>
        <v>0</v>
      </c>
      <c r="N4" s="72" t="s">
        <v>41</v>
      </c>
      <c r="O4" s="73" t="str">
        <f>Timesheet!D6</f>
        <v>ST1</v>
      </c>
    </row>
    <row r="5" spans="1:17" ht="9.75" customHeight="1" thickBot="1"/>
    <row r="6" spans="1:17" s="76" customFormat="1" ht="15.75" thickTop="1" thickBot="1">
      <c r="A6" s="287" t="s">
        <v>45</v>
      </c>
      <c r="B6" s="288"/>
      <c r="C6" s="288"/>
      <c r="D6" s="288"/>
      <c r="E6" s="288"/>
      <c r="F6" s="288"/>
      <c r="G6" s="288"/>
      <c r="H6" s="288"/>
      <c r="I6" s="288"/>
      <c r="J6" s="288"/>
      <c r="K6" s="288"/>
      <c r="L6" s="288"/>
      <c r="M6" s="288"/>
      <c r="N6" s="289"/>
      <c r="O6" s="290" t="s">
        <v>46</v>
      </c>
      <c r="P6" s="291"/>
      <c r="Q6" s="292"/>
    </row>
    <row r="7" spans="1:17" s="80" customFormat="1" ht="51" customHeight="1" thickTop="1">
      <c r="A7" s="92" t="s">
        <v>47</v>
      </c>
      <c r="B7" s="78" t="s">
        <v>48</v>
      </c>
      <c r="C7" s="78" t="s">
        <v>49</v>
      </c>
      <c r="D7" s="293" t="s">
        <v>50</v>
      </c>
      <c r="E7" s="294"/>
      <c r="F7" s="295"/>
      <c r="G7" s="78" t="s">
        <v>60</v>
      </c>
      <c r="H7" s="78" t="s">
        <v>61</v>
      </c>
      <c r="I7" s="78" t="s">
        <v>62</v>
      </c>
      <c r="J7" s="78" t="s">
        <v>63</v>
      </c>
      <c r="K7" s="78" t="s">
        <v>65</v>
      </c>
      <c r="L7" s="78" t="s">
        <v>66</v>
      </c>
      <c r="M7" s="78" t="s">
        <v>51</v>
      </c>
      <c r="N7" s="79" t="s">
        <v>52</v>
      </c>
      <c r="O7" s="77" t="s">
        <v>53</v>
      </c>
      <c r="P7" s="78" t="s">
        <v>54</v>
      </c>
      <c r="Q7" s="79" t="s">
        <v>52</v>
      </c>
    </row>
    <row r="8" spans="1:17" s="88" customFormat="1" ht="13.5" customHeight="1">
      <c r="A8" s="196"/>
      <c r="B8" s="197"/>
      <c r="C8" s="200" t="str">
        <f>IF(COUNT(B8)=1,TEXT(B8,"aaa"),"")</f>
        <v/>
      </c>
      <c r="D8" s="82"/>
      <c r="E8" s="83" t="s">
        <v>42</v>
      </c>
      <c r="F8" s="84"/>
      <c r="G8" s="85" t="str">
        <f>IF(C8="日",F8-D8," ")</f>
        <v xml:space="preserve"> </v>
      </c>
      <c r="H8" s="85" t="str">
        <f>IF(C8="日","",IF(COUNT(B8)=1,F8-D8,""))</f>
        <v/>
      </c>
      <c r="I8" s="85"/>
      <c r="J8" s="85"/>
      <c r="K8" s="85"/>
      <c r="L8" s="85"/>
      <c r="M8" s="81"/>
      <c r="N8" s="86"/>
      <c r="O8" s="87"/>
      <c r="P8" s="81"/>
      <c r="Q8" s="86"/>
    </row>
    <row r="9" spans="1:17" s="88" customFormat="1" ht="13.5" customHeight="1">
      <c r="A9" s="198"/>
      <c r="B9" s="199"/>
      <c r="C9" s="201"/>
      <c r="D9" s="101"/>
      <c r="E9" s="83" t="s">
        <v>42</v>
      </c>
      <c r="F9" s="102"/>
      <c r="G9" s="103"/>
      <c r="H9" s="103"/>
      <c r="I9" s="103"/>
      <c r="J9" s="103"/>
      <c r="K9" s="103"/>
      <c r="L9" s="103"/>
      <c r="M9" s="100"/>
      <c r="N9" s="104"/>
      <c r="O9" s="105"/>
      <c r="P9" s="100"/>
      <c r="Q9" s="104"/>
    </row>
    <row r="10" spans="1:17" s="89" customFormat="1" ht="26.25" customHeight="1" thickBot="1">
      <c r="A10" s="93" t="s">
        <v>55</v>
      </c>
      <c r="B10" s="94"/>
      <c r="C10" s="95"/>
      <c r="D10" s="95"/>
      <c r="E10" s="96"/>
      <c r="F10" s="97"/>
      <c r="G10" s="98">
        <f t="shared" ref="G10:L10" si="0">SUM(G8:G9)</f>
        <v>0</v>
      </c>
      <c r="H10" s="98">
        <f t="shared" si="0"/>
        <v>0</v>
      </c>
      <c r="I10" s="98">
        <f t="shared" si="0"/>
        <v>0</v>
      </c>
      <c r="J10" s="98">
        <f t="shared" si="0"/>
        <v>0</v>
      </c>
      <c r="K10" s="98">
        <f t="shared" si="0"/>
        <v>0</v>
      </c>
      <c r="L10" s="98">
        <f t="shared" si="0"/>
        <v>0</v>
      </c>
      <c r="M10" s="94"/>
      <c r="N10" s="99"/>
      <c r="O10" s="98">
        <f>IF(SUM(L8:L9)&gt;=SUM(K8:K9),SUM(O8:O9)-SUM(K8:K9),SUM(O8:O9)-(SUM(L8:L9)))</f>
        <v>0</v>
      </c>
      <c r="P10" s="94"/>
      <c r="Q10" s="99"/>
    </row>
    <row r="11" spans="1:17" ht="14.25" thickTop="1"/>
    <row r="12" spans="1:17">
      <c r="A12" s="75" t="s">
        <v>56</v>
      </c>
    </row>
    <row r="13" spans="1:17">
      <c r="A13" s="75" t="s">
        <v>57</v>
      </c>
    </row>
    <row r="14" spans="1:17">
      <c r="A14" s="75" t="s">
        <v>58</v>
      </c>
    </row>
    <row r="15" spans="1:17">
      <c r="A15" s="75" t="s">
        <v>59</v>
      </c>
    </row>
    <row r="16" spans="1:17">
      <c r="A16" s="90"/>
    </row>
    <row r="17" spans="1:1">
      <c r="A17" s="90"/>
    </row>
    <row r="18" spans="1:1">
      <c r="A18" s="91"/>
    </row>
  </sheetData>
  <sheetProtection password="C8B7" sheet="1" objects="1" scenarios="1" formatCells="0" formatColumns="0" formatRows="0" insertColumns="0" insertRows="0" deleteColumns="0" deleteRows="0"/>
  <mergeCells count="5">
    <mergeCell ref="B4:F4"/>
    <mergeCell ref="A6:N6"/>
    <mergeCell ref="O6:Q6"/>
    <mergeCell ref="D7:F7"/>
    <mergeCell ref="H4:J4"/>
  </mergeCells>
  <phoneticPr fontId="3"/>
  <conditionalFormatting sqref="C8:C9">
    <cfRule type="cellIs" dxfId="3" priority="1" stopIfTrue="1" operator="equal">
      <formula>"日"</formula>
    </cfRule>
    <cfRule type="cellIs" dxfId="2" priority="2" stopIfTrue="1" operator="equal">
      <formula>"土"</formula>
    </cfRule>
  </conditionalFormatting>
  <pageMargins left="0.65" right="0.19685039370078741" top="0.42" bottom="0.74803149606299213" header="0.31496062992125984" footer="0.31496062992125984"/>
  <pageSetup paperSize="9" scale="94" orientation="landscape" r:id="rId1"/>
  <headerFooter>
    <oddFooter>&amp;L30j-BM/NS/HDCV/FJP&amp;CCONFIDENTIAL / 秘&amp;R&amp;P/&amp;N</oddFooter>
  </headerFooter>
  <legacyDrawing r:id="rId2"/>
</worksheet>
</file>

<file path=xl/worksheets/sheet4.xml><?xml version="1.0" encoding="utf-8"?>
<worksheet xmlns="http://schemas.openxmlformats.org/spreadsheetml/2006/main" xmlns:r="http://schemas.openxmlformats.org/officeDocument/2006/relationships">
  <sheetPr codeName="Sheet1">
    <tabColor rgb="FFFF0000"/>
    <pageSetUpPr fitToPage="1"/>
  </sheetPr>
  <dimension ref="A2:G33"/>
  <sheetViews>
    <sheetView workbookViewId="0">
      <selection activeCell="G21" sqref="G21"/>
    </sheetView>
  </sheetViews>
  <sheetFormatPr defaultColWidth="8.75" defaultRowHeight="14.25"/>
  <cols>
    <col min="1" max="1" width="10.875" style="111" customWidth="1"/>
    <col min="2" max="2" width="7.875" style="111" customWidth="1"/>
    <col min="3" max="3" width="7.375" style="111" customWidth="1"/>
    <col min="4" max="4" width="12.75" style="111" customWidth="1"/>
    <col min="5" max="5" width="11.25" style="111" customWidth="1"/>
    <col min="6" max="6" width="21.625" style="111" customWidth="1"/>
    <col min="7" max="7" width="13.875" style="111" customWidth="1"/>
    <col min="8" max="10" width="11.5" style="111" customWidth="1"/>
    <col min="11" max="11" width="10.25" style="111" customWidth="1"/>
    <col min="12" max="16384" width="8.75" style="111"/>
  </cols>
  <sheetData>
    <row r="2" spans="1:7" s="109" customFormat="1" ht="22.5">
      <c r="D2" s="110" t="s">
        <v>67</v>
      </c>
    </row>
    <row r="3" spans="1:7" ht="21.75" customHeight="1">
      <c r="A3" s="118"/>
      <c r="D3" s="112" t="s">
        <v>102</v>
      </c>
    </row>
    <row r="6" spans="1:7" ht="31.5" customHeight="1">
      <c r="A6" s="113" t="s">
        <v>68</v>
      </c>
      <c r="B6" s="310" t="str">
        <f>Timesheet!D4</f>
        <v>Dang Thanh Tung</v>
      </c>
      <c r="C6" s="310"/>
      <c r="D6" s="113" t="s">
        <v>69</v>
      </c>
      <c r="E6" s="134">
        <f>Timesheet!D5</f>
        <v>0</v>
      </c>
      <c r="F6" s="113" t="s">
        <v>70</v>
      </c>
      <c r="G6" s="135" t="str">
        <f>Timesheet!D6</f>
        <v>ST1</v>
      </c>
    </row>
    <row r="7" spans="1:7" ht="31.5" customHeight="1">
      <c r="A7" s="113" t="s">
        <v>71</v>
      </c>
      <c r="B7" s="310" t="str">
        <f>Timesheet!R4</f>
        <v>FX</v>
      </c>
      <c r="C7" s="310"/>
      <c r="D7" s="115" t="s">
        <v>72</v>
      </c>
      <c r="E7" s="114"/>
      <c r="F7" s="116"/>
      <c r="G7" s="117"/>
    </row>
    <row r="9" spans="1:7" s="118" customFormat="1">
      <c r="A9" s="311" t="s">
        <v>73</v>
      </c>
      <c r="B9" s="312"/>
      <c r="C9" s="313"/>
      <c r="D9" s="306" t="s">
        <v>74</v>
      </c>
      <c r="E9" s="308" t="s">
        <v>75</v>
      </c>
      <c r="F9" s="308" t="s">
        <v>76</v>
      </c>
      <c r="G9" s="308" t="s">
        <v>77</v>
      </c>
    </row>
    <row r="10" spans="1:7" s="118" customFormat="1" ht="27">
      <c r="A10" s="136" t="s">
        <v>101</v>
      </c>
      <c r="B10" s="136" t="s">
        <v>99</v>
      </c>
      <c r="C10" s="136" t="s">
        <v>100</v>
      </c>
      <c r="D10" s="307"/>
      <c r="E10" s="309"/>
      <c r="F10" s="309"/>
      <c r="G10" s="309"/>
    </row>
    <row r="11" spans="1:7" s="119" customFormat="1" ht="29.25" customHeight="1">
      <c r="A11" s="139"/>
      <c r="B11" s="140"/>
      <c r="C11" s="140"/>
      <c r="D11" s="141"/>
      <c r="E11" s="142"/>
      <c r="F11" s="142"/>
      <c r="G11" s="142"/>
    </row>
    <row r="12" spans="1:7" s="119" customFormat="1" ht="29.25" customHeight="1">
      <c r="A12" s="139"/>
      <c r="B12" s="140"/>
      <c r="C12" s="140"/>
      <c r="D12" s="141"/>
      <c r="E12" s="142"/>
      <c r="F12" s="142"/>
      <c r="G12" s="142"/>
    </row>
    <row r="13" spans="1:7" s="119" customFormat="1" ht="27.75" customHeight="1">
      <c r="A13" s="120"/>
      <c r="B13" s="121"/>
      <c r="C13" s="121"/>
      <c r="D13" s="120"/>
      <c r="E13" s="120"/>
      <c r="F13" s="120"/>
      <c r="G13" s="120"/>
    </row>
    <row r="14" spans="1:7" ht="41.25" customHeight="1">
      <c r="B14" s="297" t="s">
        <v>78</v>
      </c>
      <c r="C14" s="298"/>
      <c r="D14" s="303" t="s">
        <v>79</v>
      </c>
      <c r="E14" s="303"/>
      <c r="F14" s="122" t="s">
        <v>80</v>
      </c>
    </row>
    <row r="15" spans="1:7" ht="77.25" customHeight="1">
      <c r="B15" s="299" t="str">
        <f>B6</f>
        <v>Dang Thanh Tung</v>
      </c>
      <c r="C15" s="300"/>
      <c r="D15" s="304"/>
      <c r="E15" s="304"/>
      <c r="F15" s="123"/>
    </row>
    <row r="16" spans="1:7">
      <c r="B16" s="301" t="str">
        <f ca="1">"日付："&amp;TEXT(TODAY(),"mm月dd日")</f>
        <v>日付：03月09日</v>
      </c>
      <c r="C16" s="302"/>
      <c r="D16" s="305" t="s">
        <v>81</v>
      </c>
      <c r="E16" s="305"/>
      <c r="F16" s="124" t="s">
        <v>81</v>
      </c>
    </row>
    <row r="17" spans="1:7" ht="15" thickBot="1">
      <c r="A17" s="125"/>
      <c r="B17" s="125"/>
      <c r="C17" s="125"/>
      <c r="D17" s="125"/>
      <c r="E17" s="125"/>
      <c r="F17" s="125"/>
      <c r="G17" s="125"/>
    </row>
    <row r="18" spans="1:7" ht="27.75" customHeight="1">
      <c r="A18" s="126" t="s">
        <v>82</v>
      </c>
    </row>
    <row r="19" spans="1:7" s="127" customFormat="1" ht="19.5" customHeight="1">
      <c r="A19" s="128" t="s">
        <v>83</v>
      </c>
      <c r="D19" s="128" t="s">
        <v>84</v>
      </c>
    </row>
    <row r="20" spans="1:7" s="127" customFormat="1" ht="19.5" customHeight="1">
      <c r="A20" s="128" t="s">
        <v>103</v>
      </c>
      <c r="D20" s="128" t="s">
        <v>85</v>
      </c>
    </row>
    <row r="21" spans="1:7" s="127" customFormat="1" ht="19.5" customHeight="1">
      <c r="A21" s="128" t="s">
        <v>86</v>
      </c>
      <c r="D21" s="128" t="s">
        <v>87</v>
      </c>
    </row>
    <row r="22" spans="1:7" ht="6.75" customHeight="1">
      <c r="D22" s="129"/>
    </row>
    <row r="23" spans="1:7">
      <c r="A23" s="130" t="s">
        <v>88</v>
      </c>
      <c r="G23" s="131"/>
    </row>
    <row r="24" spans="1:7">
      <c r="A24" s="128" t="s">
        <v>89</v>
      </c>
      <c r="D24" s="132"/>
      <c r="E24" s="132"/>
    </row>
    <row r="25" spans="1:7">
      <c r="A25" s="128" t="s">
        <v>90</v>
      </c>
      <c r="D25" s="132"/>
      <c r="E25" s="132"/>
    </row>
    <row r="26" spans="1:7">
      <c r="A26" s="133" t="s">
        <v>91</v>
      </c>
      <c r="D26" s="132"/>
      <c r="E26" s="132"/>
    </row>
    <row r="27" spans="1:7">
      <c r="A27" s="127" t="s">
        <v>92</v>
      </c>
      <c r="D27" s="132"/>
      <c r="E27" s="132"/>
    </row>
    <row r="28" spans="1:7">
      <c r="A28" s="128" t="s">
        <v>93</v>
      </c>
      <c r="D28" s="132"/>
      <c r="E28" s="132"/>
    </row>
    <row r="29" spans="1:7">
      <c r="A29" s="128" t="s">
        <v>94</v>
      </c>
      <c r="D29" s="132"/>
      <c r="E29" s="132"/>
    </row>
    <row r="30" spans="1:7">
      <c r="A30" s="133" t="s">
        <v>95</v>
      </c>
    </row>
    <row r="31" spans="1:7">
      <c r="A31" s="133" t="s">
        <v>96</v>
      </c>
    </row>
    <row r="32" spans="1:7">
      <c r="A32" s="133" t="s">
        <v>97</v>
      </c>
    </row>
    <row r="33" spans="1:1">
      <c r="A33" s="128" t="s">
        <v>98</v>
      </c>
    </row>
  </sheetData>
  <sheetProtection password="C8B7" sheet="1" formatCells="0" formatColumns="0" formatRows="0" insertColumns="0" insertRows="0" insertHyperlinks="0" deleteColumns="0" deleteRows="0" sort="0" autoFilter="0" pivotTables="0"/>
  <mergeCells count="13">
    <mergeCell ref="D9:D10"/>
    <mergeCell ref="E9:E10"/>
    <mergeCell ref="F9:F10"/>
    <mergeCell ref="G9:G10"/>
    <mergeCell ref="B6:C6"/>
    <mergeCell ref="B7:C7"/>
    <mergeCell ref="A9:C9"/>
    <mergeCell ref="B14:C14"/>
    <mergeCell ref="B15:C15"/>
    <mergeCell ref="B16:C16"/>
    <mergeCell ref="D14:E14"/>
    <mergeCell ref="D15:E15"/>
    <mergeCell ref="D16:E16"/>
  </mergeCells>
  <phoneticPr fontId="3"/>
  <pageMargins left="0.94513888888888886" right="0.47222222222222221" top="0.74791666666666667" bottom="0.74791666666666667" header="0.51180555555555551" footer="0.51180555555555551"/>
  <pageSetup paperSize="9" firstPageNumber="0" orientation="portrait" horizontalDpi="300" verticalDpi="300" r:id="rId1"/>
  <headerFooter alignWithMargins="0"/>
</worksheet>
</file>

<file path=xl/worksheets/sheet5.xml><?xml version="1.0" encoding="utf-8"?>
<worksheet xmlns="http://schemas.openxmlformats.org/spreadsheetml/2006/main" xmlns:r="http://schemas.openxmlformats.org/officeDocument/2006/relationships">
  <sheetPr codeName="Sheet2">
    <tabColor rgb="FFFF0000"/>
  </sheetPr>
  <dimension ref="A3:I55"/>
  <sheetViews>
    <sheetView zoomScale="150" zoomScaleNormal="150" workbookViewId="0">
      <selection activeCell="K31" sqref="K31"/>
    </sheetView>
  </sheetViews>
  <sheetFormatPr defaultRowHeight="12.75"/>
  <cols>
    <col min="1" max="1" width="12.125" style="205" customWidth="1"/>
    <col min="2" max="2" width="6.625" style="205" customWidth="1"/>
    <col min="3" max="4" width="9" style="205"/>
    <col min="5" max="5" width="6.25" style="205" customWidth="1"/>
    <col min="6" max="6" width="3.75" style="205" customWidth="1"/>
    <col min="7" max="7" width="11.25" style="205" customWidth="1"/>
    <col min="8" max="8" width="10.5" style="205" customWidth="1"/>
    <col min="9" max="9" width="10.25" style="205" customWidth="1"/>
    <col min="10" max="16384" width="9" style="205"/>
  </cols>
  <sheetData>
    <row r="3" spans="1:9" ht="14.25">
      <c r="A3" s="202" t="s">
        <v>117</v>
      </c>
      <c r="B3" s="203" t="s">
        <v>118</v>
      </c>
      <c r="C3" s="203"/>
      <c r="D3" s="204"/>
    </row>
    <row r="4" spans="1:9">
      <c r="A4" s="204"/>
      <c r="D4" s="204"/>
    </row>
    <row r="5" spans="1:9">
      <c r="A5" s="206"/>
    </row>
    <row r="6" spans="1:9" s="211" customFormat="1" ht="21.75" customHeight="1">
      <c r="A6" s="207"/>
      <c r="B6" s="208"/>
      <c r="C6" s="208"/>
      <c r="D6" s="208"/>
      <c r="E6" s="208"/>
      <c r="F6" s="208"/>
      <c r="G6" s="208"/>
      <c r="H6" s="209" t="s">
        <v>119</v>
      </c>
      <c r="I6" s="210" t="s">
        <v>120</v>
      </c>
    </row>
    <row r="7" spans="1:9" ht="18">
      <c r="A7" s="212"/>
      <c r="B7" s="213"/>
      <c r="C7" s="213"/>
      <c r="D7" s="214" t="s">
        <v>121</v>
      </c>
      <c r="E7" s="213"/>
      <c r="F7" s="213"/>
      <c r="G7" s="213"/>
      <c r="H7" s="215"/>
      <c r="I7" s="216"/>
    </row>
    <row r="8" spans="1:9" ht="6" customHeight="1">
      <c r="A8" s="212"/>
      <c r="B8" s="213"/>
      <c r="C8" s="213"/>
      <c r="D8" s="213"/>
      <c r="E8" s="213"/>
      <c r="F8" s="213"/>
      <c r="G8" s="213"/>
      <c r="H8" s="217"/>
      <c r="I8" s="216"/>
    </row>
    <row r="9" spans="1:9">
      <c r="A9" s="218" t="s">
        <v>122</v>
      </c>
      <c r="B9" s="213"/>
      <c r="C9" s="213"/>
      <c r="D9" s="213"/>
      <c r="E9" s="213"/>
      <c r="F9" s="213"/>
      <c r="G9" s="213"/>
      <c r="H9" s="217"/>
      <c r="I9" s="216"/>
    </row>
    <row r="10" spans="1:9">
      <c r="A10" s="218" t="s">
        <v>123</v>
      </c>
      <c r="B10" s="213"/>
      <c r="C10" s="213"/>
      <c r="D10" s="213"/>
      <c r="E10" s="213"/>
      <c r="F10" s="213"/>
      <c r="G10" s="213"/>
      <c r="H10" s="217"/>
      <c r="I10" s="216"/>
    </row>
    <row r="11" spans="1:9" ht="7.5" customHeight="1">
      <c r="A11" s="219"/>
      <c r="B11" s="206"/>
      <c r="C11" s="206"/>
      <c r="D11" s="206"/>
      <c r="E11" s="206"/>
      <c r="F11" s="206"/>
      <c r="G11" s="206"/>
      <c r="H11" s="220"/>
      <c r="I11" s="221"/>
    </row>
    <row r="14" spans="1:9" s="223" customFormat="1">
      <c r="A14" s="314" t="s">
        <v>124</v>
      </c>
      <c r="B14" s="315"/>
      <c r="C14" s="222" t="s">
        <v>125</v>
      </c>
      <c r="D14" s="314" t="s">
        <v>126</v>
      </c>
      <c r="E14" s="316"/>
      <c r="F14" s="314" t="s">
        <v>127</v>
      </c>
      <c r="G14" s="316"/>
      <c r="H14" s="314" t="s">
        <v>128</v>
      </c>
      <c r="I14" s="316"/>
    </row>
    <row r="15" spans="1:9">
      <c r="A15" s="317" t="str">
        <f>Timesheet!R4</f>
        <v>FX</v>
      </c>
      <c r="B15" s="318"/>
      <c r="C15" s="224" t="str">
        <f>Timesheet!R4</f>
        <v>FX</v>
      </c>
      <c r="D15" s="319" t="str">
        <f>Timesheet!D4&amp;"("&amp; Timesheet!D5&amp; ")"</f>
        <v>Dang Thanh Tung()</v>
      </c>
      <c r="E15" s="320"/>
      <c r="F15" s="321" t="str">
        <f>Timesheet!R5</f>
        <v>FX_R&amp;D</v>
      </c>
      <c r="G15" s="322"/>
      <c r="H15" s="321" t="str">
        <f>Timesheet!R4</f>
        <v>FX</v>
      </c>
      <c r="I15" s="322"/>
    </row>
    <row r="16" spans="1:9">
      <c r="A16" s="212"/>
      <c r="B16" s="213"/>
      <c r="C16" s="217"/>
      <c r="D16" s="323"/>
      <c r="E16" s="324"/>
      <c r="F16" s="325"/>
      <c r="G16" s="326"/>
      <c r="H16" s="325"/>
      <c r="I16" s="326"/>
    </row>
    <row r="17" spans="1:9">
      <c r="A17" s="219"/>
      <c r="B17" s="206"/>
      <c r="C17" s="220"/>
      <c r="D17" s="327"/>
      <c r="E17" s="328"/>
      <c r="F17" s="327"/>
      <c r="G17" s="328"/>
      <c r="H17" s="327"/>
      <c r="I17" s="328"/>
    </row>
    <row r="18" spans="1:9">
      <c r="A18" s="213"/>
      <c r="B18" s="213"/>
      <c r="C18" s="213"/>
      <c r="D18" s="213"/>
      <c r="E18" s="213"/>
      <c r="F18" s="213"/>
      <c r="G18" s="213"/>
      <c r="H18" s="213"/>
      <c r="I18" s="213"/>
    </row>
    <row r="19" spans="1:9">
      <c r="A19" s="213"/>
      <c r="B19" s="213"/>
      <c r="C19" s="213"/>
      <c r="D19" s="213"/>
      <c r="E19" s="213"/>
      <c r="F19" s="213"/>
      <c r="G19" s="213"/>
      <c r="H19" s="213"/>
      <c r="I19" s="213"/>
    </row>
    <row r="20" spans="1:9" ht="13.5" customHeight="1">
      <c r="A20" s="227" t="s">
        <v>129</v>
      </c>
      <c r="B20" s="228"/>
      <c r="C20" s="228"/>
      <c r="D20" s="228"/>
      <c r="E20" s="228"/>
      <c r="F20" s="228"/>
      <c r="G20" s="228"/>
      <c r="H20" s="228"/>
      <c r="I20" s="229"/>
    </row>
    <row r="21" spans="1:9">
      <c r="A21" s="227" t="s">
        <v>130</v>
      </c>
      <c r="B21" s="314" t="s">
        <v>131</v>
      </c>
      <c r="C21" s="316"/>
      <c r="D21" s="314" t="s">
        <v>132</v>
      </c>
      <c r="E21" s="329"/>
      <c r="F21" s="330"/>
      <c r="G21" s="230"/>
      <c r="H21" s="231" t="s">
        <v>133</v>
      </c>
      <c r="I21" s="229"/>
    </row>
    <row r="22" spans="1:9">
      <c r="A22" s="227" t="s">
        <v>134</v>
      </c>
      <c r="B22" s="331" t="s">
        <v>135</v>
      </c>
      <c r="C22" s="332"/>
      <c r="D22" s="333" t="s">
        <v>136</v>
      </c>
      <c r="E22" s="334"/>
      <c r="F22" s="335"/>
      <c r="G22" s="234"/>
      <c r="H22" s="235" t="s">
        <v>137</v>
      </c>
      <c r="I22" s="236"/>
    </row>
    <row r="23" spans="1:9">
      <c r="A23" s="227" t="s">
        <v>138</v>
      </c>
      <c r="B23" s="331" t="s">
        <v>139</v>
      </c>
      <c r="C23" s="332"/>
      <c r="D23" s="333" t="s">
        <v>140</v>
      </c>
      <c r="E23" s="334"/>
      <c r="F23" s="335"/>
      <c r="G23" s="234"/>
      <c r="H23" s="235" t="s">
        <v>137</v>
      </c>
      <c r="I23" s="236"/>
    </row>
    <row r="24" spans="1:9">
      <c r="A24" s="227" t="s">
        <v>141</v>
      </c>
      <c r="B24" s="331" t="s">
        <v>142</v>
      </c>
      <c r="C24" s="332"/>
      <c r="D24" s="333" t="s">
        <v>143</v>
      </c>
      <c r="E24" s="334"/>
      <c r="F24" s="335"/>
      <c r="G24" s="234"/>
      <c r="H24" s="235" t="s">
        <v>137</v>
      </c>
      <c r="I24" s="236"/>
    </row>
    <row r="25" spans="1:9">
      <c r="A25" s="227" t="s">
        <v>144</v>
      </c>
      <c r="B25" s="331"/>
      <c r="C25" s="332"/>
      <c r="D25" s="228"/>
      <c r="E25" s="228"/>
      <c r="F25" s="228"/>
      <c r="G25" s="230"/>
      <c r="H25" s="228"/>
      <c r="I25" s="229"/>
    </row>
    <row r="28" spans="1:9">
      <c r="A28" s="227" t="s">
        <v>145</v>
      </c>
      <c r="B28" s="228"/>
      <c r="C28" s="228"/>
      <c r="D28" s="228"/>
      <c r="E28" s="228"/>
      <c r="F28" s="228"/>
      <c r="G28" s="228"/>
      <c r="H28" s="228"/>
      <c r="I28" s="229"/>
    </row>
    <row r="29" spans="1:9" s="239" customFormat="1">
      <c r="A29" s="331" t="s">
        <v>146</v>
      </c>
      <c r="B29" s="332"/>
      <c r="C29" s="331" t="s">
        <v>147</v>
      </c>
      <c r="D29" s="332"/>
      <c r="E29" s="331" t="s">
        <v>148</v>
      </c>
      <c r="F29" s="338"/>
      <c r="G29" s="332"/>
      <c r="H29" s="237" t="s">
        <v>149</v>
      </c>
      <c r="I29" s="238" t="s">
        <v>150</v>
      </c>
    </row>
    <row r="30" spans="1:9" s="240" customFormat="1">
      <c r="A30" s="339"/>
      <c r="B30" s="340"/>
      <c r="C30" s="339"/>
      <c r="D30" s="340"/>
      <c r="E30" s="341">
        <f>Timesheet!Q43</f>
        <v>0</v>
      </c>
      <c r="F30" s="342"/>
      <c r="G30" s="343"/>
      <c r="H30" s="247"/>
      <c r="I30" s="248"/>
    </row>
    <row r="31" spans="1:9">
      <c r="A31" s="213"/>
      <c r="B31" s="213"/>
      <c r="C31" s="213"/>
      <c r="D31" s="213"/>
      <c r="E31" s="213"/>
      <c r="F31" s="213"/>
      <c r="G31" s="213"/>
      <c r="H31" s="213"/>
      <c r="I31" s="213"/>
    </row>
    <row r="32" spans="1:9">
      <c r="A32" s="213"/>
      <c r="B32" s="213"/>
      <c r="C32" s="213"/>
      <c r="D32" s="213"/>
      <c r="E32" s="213"/>
      <c r="F32" s="213"/>
      <c r="G32" s="213"/>
      <c r="H32" s="213"/>
      <c r="I32" s="213"/>
    </row>
    <row r="33" spans="1:9">
      <c r="A33" s="227" t="s">
        <v>151</v>
      </c>
      <c r="B33" s="228"/>
      <c r="C33" s="228"/>
      <c r="D33" s="228"/>
      <c r="E33" s="228"/>
      <c r="F33" s="241"/>
      <c r="G33" s="228"/>
      <c r="H33" s="228"/>
      <c r="I33" s="229"/>
    </row>
    <row r="34" spans="1:9" s="239" customFormat="1">
      <c r="A34" s="232" t="s">
        <v>152</v>
      </c>
      <c r="B34" s="331" t="s">
        <v>153</v>
      </c>
      <c r="C34" s="332"/>
      <c r="D34" s="331" t="s">
        <v>154</v>
      </c>
      <c r="E34" s="332"/>
      <c r="F34" s="242"/>
      <c r="G34" s="237" t="s">
        <v>152</v>
      </c>
      <c r="H34" s="238" t="s">
        <v>153</v>
      </c>
      <c r="I34" s="233" t="s">
        <v>154</v>
      </c>
    </row>
    <row r="35" spans="1:9">
      <c r="A35" s="212"/>
      <c r="B35" s="336"/>
      <c r="C35" s="337"/>
      <c r="D35" s="336"/>
      <c r="E35" s="337"/>
      <c r="F35" s="217"/>
      <c r="G35" s="213"/>
      <c r="H35" s="217"/>
      <c r="I35" s="216"/>
    </row>
    <row r="36" spans="1:9">
      <c r="A36" s="212"/>
      <c r="B36" s="225"/>
      <c r="C36" s="226"/>
      <c r="D36" s="225"/>
      <c r="E36" s="226"/>
      <c r="F36" s="217"/>
      <c r="G36" s="213"/>
      <c r="H36" s="217"/>
      <c r="I36" s="216"/>
    </row>
    <row r="37" spans="1:9">
      <c r="A37" s="212"/>
      <c r="B37" s="325"/>
      <c r="C37" s="326"/>
      <c r="D37" s="325"/>
      <c r="E37" s="326"/>
      <c r="F37" s="217"/>
      <c r="G37" s="213"/>
      <c r="H37" s="217"/>
      <c r="I37" s="216"/>
    </row>
    <row r="38" spans="1:9">
      <c r="A38" s="219"/>
      <c r="B38" s="327"/>
      <c r="C38" s="328"/>
      <c r="D38" s="327"/>
      <c r="E38" s="328"/>
      <c r="F38" s="217"/>
      <c r="G38" s="206"/>
      <c r="H38" s="220"/>
      <c r="I38" s="221"/>
    </row>
    <row r="41" spans="1:9">
      <c r="A41" s="227" t="s">
        <v>155</v>
      </c>
      <c r="B41" s="228"/>
      <c r="C41" s="228"/>
      <c r="D41" s="228"/>
      <c r="E41" s="228"/>
      <c r="F41" s="228"/>
      <c r="G41" s="228"/>
      <c r="H41" s="228"/>
      <c r="I41" s="229"/>
    </row>
    <row r="42" spans="1:9">
      <c r="A42" s="243"/>
      <c r="B42" s="213"/>
      <c r="C42" s="213"/>
      <c r="D42" s="213"/>
      <c r="E42" s="213"/>
      <c r="F42" s="213"/>
      <c r="G42" s="213"/>
      <c r="H42" s="213"/>
      <c r="I42" s="216"/>
    </row>
    <row r="43" spans="1:9">
      <c r="A43" s="244"/>
      <c r="B43" s="213"/>
      <c r="C43" s="213"/>
      <c r="D43" s="213"/>
      <c r="E43" s="213"/>
      <c r="F43" s="213"/>
      <c r="G43" s="213"/>
      <c r="H43" s="213"/>
      <c r="I43" s="216"/>
    </row>
    <row r="44" spans="1:9">
      <c r="A44" s="219"/>
      <c r="B44" s="206"/>
      <c r="C44" s="206"/>
      <c r="D44" s="206"/>
      <c r="E44" s="206"/>
      <c r="F44" s="206"/>
      <c r="G44" s="206"/>
      <c r="H44" s="206"/>
      <c r="I44" s="221"/>
    </row>
    <row r="45" spans="1:9">
      <c r="A45" s="213"/>
      <c r="B45" s="213"/>
      <c r="C45" s="213"/>
      <c r="D45" s="213"/>
      <c r="E45" s="213"/>
      <c r="F45" s="213"/>
      <c r="G45" s="213"/>
      <c r="H45" s="213"/>
      <c r="I45" s="213"/>
    </row>
    <row r="47" spans="1:9" ht="22.5" customHeight="1">
      <c r="A47" s="245" t="s">
        <v>156</v>
      </c>
      <c r="B47" s="241"/>
      <c r="C47" s="241"/>
      <c r="D47" s="241"/>
      <c r="E47" s="241"/>
      <c r="F47" s="241"/>
      <c r="G47" s="241"/>
      <c r="H47" s="344" t="s">
        <v>157</v>
      </c>
      <c r="I47" s="345"/>
    </row>
    <row r="48" spans="1:9">
      <c r="A48" s="244" t="s">
        <v>158</v>
      </c>
      <c r="B48" s="213"/>
      <c r="C48" s="213"/>
      <c r="D48" s="213"/>
      <c r="E48" s="213"/>
      <c r="F48" s="213"/>
      <c r="G48" s="213"/>
      <c r="H48" s="212"/>
      <c r="I48" s="216"/>
    </row>
    <row r="49" spans="1:9">
      <c r="A49" s="212"/>
      <c r="B49" s="213"/>
      <c r="C49" s="246" t="s">
        <v>159</v>
      </c>
      <c r="D49" s="213"/>
      <c r="E49" s="213"/>
      <c r="F49" s="213"/>
      <c r="G49" s="213"/>
      <c r="H49" s="212"/>
      <c r="I49" s="216"/>
    </row>
    <row r="50" spans="1:9">
      <c r="A50" s="212"/>
      <c r="B50" s="213"/>
      <c r="C50" s="213"/>
      <c r="D50" s="213"/>
      <c r="E50" s="213"/>
      <c r="F50" s="213"/>
      <c r="G50" s="213"/>
      <c r="H50" s="212"/>
      <c r="I50" s="216"/>
    </row>
    <row r="51" spans="1:9">
      <c r="A51" s="212"/>
      <c r="B51" s="213"/>
      <c r="C51" s="213"/>
      <c r="D51" s="213"/>
      <c r="E51" s="213"/>
      <c r="F51" s="213"/>
      <c r="G51" s="213"/>
      <c r="H51" s="212"/>
      <c r="I51" s="216"/>
    </row>
    <row r="52" spans="1:9">
      <c r="A52" s="219"/>
      <c r="B52" s="206"/>
      <c r="C52" s="206"/>
      <c r="D52" s="206"/>
      <c r="E52" s="206"/>
      <c r="F52" s="206"/>
      <c r="G52" s="206"/>
      <c r="H52" s="219"/>
      <c r="I52" s="221"/>
    </row>
    <row r="54" spans="1:9">
      <c r="A54" s="246"/>
      <c r="B54" s="213"/>
      <c r="C54" s="213"/>
      <c r="D54" s="213"/>
      <c r="E54" s="213"/>
      <c r="F54" s="213"/>
      <c r="G54" s="213"/>
      <c r="H54" s="213"/>
      <c r="I54" s="213"/>
    </row>
    <row r="55" spans="1:9">
      <c r="A55" s="204"/>
    </row>
  </sheetData>
  <sheetProtection password="C8B7" sheet="1"/>
  <mergeCells count="38">
    <mergeCell ref="B37:C37"/>
    <mergeCell ref="D37:E37"/>
    <mergeCell ref="B38:C38"/>
    <mergeCell ref="D38:E38"/>
    <mergeCell ref="H47:I47"/>
    <mergeCell ref="B35:C35"/>
    <mergeCell ref="D35:E35"/>
    <mergeCell ref="B24:C24"/>
    <mergeCell ref="D24:F24"/>
    <mergeCell ref="B25:C25"/>
    <mergeCell ref="A29:B29"/>
    <mergeCell ref="C29:D29"/>
    <mergeCell ref="E29:G29"/>
    <mergeCell ref="A30:B30"/>
    <mergeCell ref="C30:D30"/>
    <mergeCell ref="E30:G30"/>
    <mergeCell ref="B34:C34"/>
    <mergeCell ref="D34:E34"/>
    <mergeCell ref="B21:C21"/>
    <mergeCell ref="D21:F21"/>
    <mergeCell ref="B22:C22"/>
    <mergeCell ref="D22:F22"/>
    <mergeCell ref="B23:C23"/>
    <mergeCell ref="D23:F23"/>
    <mergeCell ref="D16:E16"/>
    <mergeCell ref="F16:G16"/>
    <mergeCell ref="H16:I16"/>
    <mergeCell ref="D17:E17"/>
    <mergeCell ref="F17:G17"/>
    <mergeCell ref="H17:I17"/>
    <mergeCell ref="A14:B14"/>
    <mergeCell ref="D14:E14"/>
    <mergeCell ref="F14:G14"/>
    <mergeCell ref="H14:I14"/>
    <mergeCell ref="A15:B15"/>
    <mergeCell ref="D15:E15"/>
    <mergeCell ref="F15:G15"/>
    <mergeCell ref="H15:I15"/>
  </mergeCells>
  <phoneticPr fontId="3"/>
  <pageMargins left="0.86" right="0.38" top="0.36" bottom="1" header="0.28999999999999998" footer="0.5"/>
  <pageSetup paperSize="9" orientation="portrait" r:id="rId1"/>
  <headerFooter alignWithMargins="0">
    <oddFooter>&amp;L41-j/BM/NS/HDCV/FJP&amp;CCONFIDENTIAL / 秘&amp;R&amp;P/&amp;N</oddFooter>
  </headerFooter>
</worksheet>
</file>

<file path=xl/worksheets/sheet6.xml><?xml version="1.0" encoding="utf-8"?>
<worksheet xmlns="http://schemas.openxmlformats.org/spreadsheetml/2006/main" xmlns:r="http://schemas.openxmlformats.org/officeDocument/2006/relationships">
  <sheetPr codeName="Sheet4">
    <tabColor rgb="FFFF0000"/>
  </sheetPr>
  <dimension ref="A1:G12"/>
  <sheetViews>
    <sheetView workbookViewId="0">
      <selection activeCell="B3" sqref="B3"/>
    </sheetView>
  </sheetViews>
  <sheetFormatPr defaultColWidth="5.75" defaultRowHeight="13.5"/>
  <cols>
    <col min="1" max="1" width="4.75" bestFit="1" customWidth="1"/>
    <col min="2" max="6" width="3.5" bestFit="1" customWidth="1"/>
    <col min="7" max="7" width="2.5" bestFit="1" customWidth="1"/>
  </cols>
  <sheetData>
    <row r="1" spans="1:7">
      <c r="A1" s="256" t="s">
        <v>163</v>
      </c>
      <c r="B1" s="256">
        <v>1</v>
      </c>
      <c r="C1" s="256">
        <v>2</v>
      </c>
      <c r="D1" s="256">
        <v>12</v>
      </c>
      <c r="E1" s="256"/>
      <c r="F1" s="256"/>
      <c r="G1" s="256"/>
    </row>
    <row r="2" spans="1:7">
      <c r="A2" s="256" t="s">
        <v>164</v>
      </c>
      <c r="B2" s="256">
        <v>11</v>
      </c>
      <c r="C2" s="256">
        <v>19</v>
      </c>
      <c r="D2" s="256"/>
      <c r="E2" s="256"/>
      <c r="F2" s="256"/>
      <c r="G2" s="256"/>
    </row>
    <row r="3" spans="1:7">
      <c r="A3" s="256" t="s">
        <v>165</v>
      </c>
      <c r="B3" s="256">
        <v>21</v>
      </c>
      <c r="C3" s="256"/>
      <c r="D3" s="256"/>
      <c r="E3" s="256"/>
      <c r="F3" s="256"/>
      <c r="G3" s="256"/>
    </row>
    <row r="4" spans="1:7">
      <c r="A4" s="256" t="s">
        <v>166</v>
      </c>
      <c r="B4" s="256">
        <v>29</v>
      </c>
      <c r="C4" s="256">
        <v>30</v>
      </c>
      <c r="D4" s="256"/>
      <c r="E4" s="256"/>
      <c r="F4" s="256"/>
      <c r="G4" s="256"/>
    </row>
    <row r="5" spans="1:7">
      <c r="A5" s="256" t="s">
        <v>167</v>
      </c>
      <c r="B5" s="256">
        <v>1</v>
      </c>
      <c r="C5" s="256">
        <v>4</v>
      </c>
      <c r="D5" s="256">
        <v>5</v>
      </c>
      <c r="E5" s="256">
        <v>6</v>
      </c>
      <c r="F5" s="256"/>
      <c r="G5" s="256"/>
    </row>
    <row r="6" spans="1:7">
      <c r="A6" s="256" t="s">
        <v>168</v>
      </c>
      <c r="B6" s="256"/>
      <c r="C6" s="256"/>
      <c r="D6" s="256"/>
      <c r="E6" s="256"/>
      <c r="F6" s="256"/>
      <c r="G6" s="256"/>
    </row>
    <row r="7" spans="1:7">
      <c r="A7" s="256" t="s">
        <v>169</v>
      </c>
      <c r="B7" s="256">
        <v>20</v>
      </c>
      <c r="C7" s="256"/>
      <c r="D7" s="256"/>
      <c r="E7" s="256"/>
      <c r="F7" s="256"/>
      <c r="G7" s="256"/>
    </row>
    <row r="8" spans="1:7">
      <c r="A8" s="256" t="s">
        <v>170</v>
      </c>
      <c r="B8" s="256">
        <v>10</v>
      </c>
      <c r="C8" s="256">
        <v>11</v>
      </c>
      <c r="D8" s="256">
        <v>12</v>
      </c>
      <c r="E8" s="256">
        <v>13</v>
      </c>
      <c r="F8" s="256">
        <v>14</v>
      </c>
      <c r="G8" s="256"/>
    </row>
    <row r="9" spans="1:7">
      <c r="A9" s="256" t="s">
        <v>171</v>
      </c>
      <c r="B9" s="256">
        <v>21</v>
      </c>
      <c r="C9" s="256">
        <v>22</v>
      </c>
      <c r="D9" s="256">
        <v>23</v>
      </c>
      <c r="E9" s="256"/>
      <c r="F9" s="256"/>
      <c r="G9" s="256"/>
    </row>
    <row r="10" spans="1:7">
      <c r="A10" s="256" t="s">
        <v>172</v>
      </c>
      <c r="B10" s="256">
        <v>12</v>
      </c>
      <c r="C10" s="256"/>
      <c r="D10" s="256"/>
      <c r="E10" s="256"/>
      <c r="F10" s="256"/>
      <c r="G10" s="256"/>
    </row>
    <row r="11" spans="1:7">
      <c r="A11" s="256" t="s">
        <v>173</v>
      </c>
      <c r="B11" s="256">
        <v>3</v>
      </c>
      <c r="C11" s="256">
        <v>23</v>
      </c>
      <c r="D11" s="256"/>
      <c r="E11" s="256"/>
      <c r="F11" s="256"/>
      <c r="G11" s="256"/>
    </row>
    <row r="12" spans="1:7">
      <c r="A12" s="256" t="s">
        <v>174</v>
      </c>
      <c r="B12" s="256">
        <v>23</v>
      </c>
      <c r="C12" s="256">
        <v>29</v>
      </c>
      <c r="D12" s="256">
        <v>30</v>
      </c>
      <c r="E12" s="256">
        <v>31</v>
      </c>
      <c r="F12" s="256"/>
      <c r="G12" s="256"/>
    </row>
  </sheetData>
  <phoneticPr fontId="3"/>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sheetPr codeName="Sheet7">
    <tabColor rgb="FF00B050"/>
  </sheetPr>
  <dimension ref="A1:Q18"/>
  <sheetViews>
    <sheetView zoomScaleNormal="100" workbookViewId="0">
      <selection activeCell="M39" sqref="M39"/>
    </sheetView>
  </sheetViews>
  <sheetFormatPr defaultRowHeight="13.5"/>
  <cols>
    <col min="1" max="1" width="8.75" style="75" customWidth="1"/>
    <col min="2" max="2" width="7.125" style="75" customWidth="1"/>
    <col min="3" max="3" width="5.375" style="75" customWidth="1"/>
    <col min="4" max="4" width="7.25" style="75" customWidth="1"/>
    <col min="5" max="5" width="2.375" style="75" customWidth="1"/>
    <col min="6" max="6" width="8.375" style="75" customWidth="1"/>
    <col min="7" max="12" width="6.25" style="75" customWidth="1"/>
    <col min="13" max="13" width="26.375" style="75" customWidth="1"/>
    <col min="14" max="14" width="8.75" style="75" customWidth="1"/>
    <col min="15" max="15" width="10.25" style="75" customWidth="1"/>
    <col min="16" max="16" width="13.625" style="75" customWidth="1"/>
    <col min="17" max="17" width="11.375" style="75" customWidth="1"/>
    <col min="18" max="16384" width="9" style="75"/>
  </cols>
  <sheetData>
    <row r="1" spans="1:17" ht="6.75" customHeight="1"/>
    <row r="2" spans="1:17" s="67" customFormat="1" ht="24">
      <c r="E2" s="68"/>
      <c r="F2" s="68"/>
      <c r="H2" s="69" t="s">
        <v>38</v>
      </c>
      <c r="I2" s="69"/>
      <c r="J2" s="69"/>
      <c r="K2" s="69"/>
      <c r="L2" s="69"/>
    </row>
    <row r="3" spans="1:17" s="67" customFormat="1" ht="12" customHeight="1">
      <c r="E3" s="68"/>
      <c r="F3" s="68"/>
      <c r="H3" s="69"/>
      <c r="I3" s="69"/>
      <c r="J3" s="69"/>
      <c r="K3" s="69"/>
      <c r="L3" s="69"/>
    </row>
    <row r="4" spans="1:17" s="71" customFormat="1" ht="25.5" customHeight="1">
      <c r="A4" s="70" t="s">
        <v>39</v>
      </c>
      <c r="B4" s="286" t="str">
        <f>Timesheet!D4</f>
        <v>Dang Thanh Tung</v>
      </c>
      <c r="C4" s="286"/>
      <c r="D4" s="286"/>
      <c r="E4" s="286"/>
      <c r="F4" s="286"/>
      <c r="H4" s="296" t="s">
        <v>40</v>
      </c>
      <c r="I4" s="296"/>
      <c r="J4" s="296"/>
      <c r="K4" s="72"/>
      <c r="L4" s="72"/>
      <c r="M4" s="73">
        <f>Timesheet!D5</f>
        <v>0</v>
      </c>
      <c r="N4" s="72" t="s">
        <v>41</v>
      </c>
      <c r="O4" s="73" t="str">
        <f>Timesheet!D6</f>
        <v>ST1</v>
      </c>
    </row>
    <row r="5" spans="1:17" ht="9.75" customHeight="1" thickBot="1"/>
    <row r="6" spans="1:17" s="76" customFormat="1" ht="15.75" thickTop="1" thickBot="1">
      <c r="A6" s="287" t="s">
        <v>45</v>
      </c>
      <c r="B6" s="288"/>
      <c r="C6" s="288"/>
      <c r="D6" s="288"/>
      <c r="E6" s="288"/>
      <c r="F6" s="288"/>
      <c r="G6" s="288"/>
      <c r="H6" s="288"/>
      <c r="I6" s="288"/>
      <c r="J6" s="288"/>
      <c r="K6" s="288"/>
      <c r="L6" s="288"/>
      <c r="M6" s="288"/>
      <c r="N6" s="289"/>
      <c r="O6" s="290" t="s">
        <v>46</v>
      </c>
      <c r="P6" s="291"/>
      <c r="Q6" s="292"/>
    </row>
    <row r="7" spans="1:17" s="80" customFormat="1" ht="51" customHeight="1" thickTop="1">
      <c r="A7" s="92" t="s">
        <v>47</v>
      </c>
      <c r="B7" s="78" t="s">
        <v>48</v>
      </c>
      <c r="C7" s="78" t="s">
        <v>49</v>
      </c>
      <c r="D7" s="293" t="s">
        <v>50</v>
      </c>
      <c r="E7" s="294"/>
      <c r="F7" s="295"/>
      <c r="G7" s="78" t="s">
        <v>60</v>
      </c>
      <c r="H7" s="78" t="s">
        <v>61</v>
      </c>
      <c r="I7" s="78" t="s">
        <v>62</v>
      </c>
      <c r="J7" s="78" t="s">
        <v>63</v>
      </c>
      <c r="K7" s="78" t="s">
        <v>65</v>
      </c>
      <c r="L7" s="78" t="s">
        <v>66</v>
      </c>
      <c r="M7" s="78" t="s">
        <v>51</v>
      </c>
      <c r="N7" s="79" t="s">
        <v>52</v>
      </c>
      <c r="O7" s="77" t="s">
        <v>53</v>
      </c>
      <c r="P7" s="78" t="s">
        <v>54</v>
      </c>
      <c r="Q7" s="79" t="s">
        <v>52</v>
      </c>
    </row>
    <row r="8" spans="1:17" s="88" customFormat="1" ht="13.5" customHeight="1">
      <c r="A8" s="260">
        <v>42046</v>
      </c>
      <c r="B8" s="261">
        <v>42046</v>
      </c>
      <c r="C8" s="200" t="s">
        <v>196</v>
      </c>
      <c r="D8" s="82">
        <v>0.39583333333333331</v>
      </c>
      <c r="E8" s="83" t="s">
        <v>204</v>
      </c>
      <c r="F8" s="84">
        <v>0.77083333333333337</v>
      </c>
      <c r="G8" s="85"/>
      <c r="H8" s="85"/>
      <c r="I8" s="85"/>
      <c r="J8" s="85"/>
      <c r="K8" s="85"/>
      <c r="L8" s="85">
        <v>0.33333333333333331</v>
      </c>
      <c r="M8" s="81"/>
      <c r="N8" s="86"/>
      <c r="O8" s="87">
        <v>0.33333333333333331</v>
      </c>
      <c r="P8" s="81"/>
      <c r="Q8" s="86"/>
    </row>
    <row r="9" spans="1:17" s="88" customFormat="1" ht="13.5" customHeight="1">
      <c r="A9" s="262">
        <v>42051</v>
      </c>
      <c r="B9" s="263">
        <v>42051</v>
      </c>
      <c r="C9" s="201" t="s">
        <v>200</v>
      </c>
      <c r="D9" s="101">
        <v>0</v>
      </c>
      <c r="E9" s="83" t="s">
        <v>205</v>
      </c>
      <c r="F9" s="102"/>
      <c r="G9" s="103"/>
      <c r="H9" s="103"/>
      <c r="I9" s="103"/>
      <c r="J9" s="103"/>
      <c r="K9" s="103">
        <v>0.33333333333333331</v>
      </c>
      <c r="L9" s="103"/>
      <c r="M9" s="100" t="s">
        <v>202</v>
      </c>
      <c r="N9" s="104"/>
      <c r="O9" s="105">
        <v>0</v>
      </c>
      <c r="P9" s="100"/>
      <c r="Q9" s="104"/>
    </row>
    <row r="10" spans="1:17" s="89" customFormat="1" ht="26.25" customHeight="1" thickBot="1">
      <c r="A10" s="93" t="s">
        <v>55</v>
      </c>
      <c r="B10" s="94"/>
      <c r="C10" s="95"/>
      <c r="D10" s="95"/>
      <c r="E10" s="96"/>
      <c r="F10" s="97"/>
      <c r="G10" s="98">
        <f t="shared" ref="G10:L10" si="0">SUM(G8:G9)</f>
        <v>0</v>
      </c>
      <c r="H10" s="98">
        <f t="shared" si="0"/>
        <v>0</v>
      </c>
      <c r="I10" s="98">
        <f t="shared" si="0"/>
        <v>0</v>
      </c>
      <c r="J10" s="98">
        <f t="shared" si="0"/>
        <v>0</v>
      </c>
      <c r="K10" s="98">
        <f t="shared" si="0"/>
        <v>0.33333333333333331</v>
      </c>
      <c r="L10" s="98">
        <f t="shared" si="0"/>
        <v>0.33333333333333331</v>
      </c>
      <c r="M10" s="94"/>
      <c r="N10" s="99"/>
      <c r="O10" s="98">
        <f>IF(SUM(L8:L9)&gt;=SUM(K8:K9),SUM(O8:O9)-SUM(K8:K9),SUM(O8:O9)-(SUM(L8:L9)))</f>
        <v>0</v>
      </c>
      <c r="P10" s="94"/>
      <c r="Q10" s="99"/>
    </row>
    <row r="11" spans="1:17" ht="14.25" thickTop="1"/>
    <row r="12" spans="1:17">
      <c r="A12" s="75" t="s">
        <v>56</v>
      </c>
    </row>
    <row r="13" spans="1:17">
      <c r="A13" s="75" t="s">
        <v>57</v>
      </c>
    </row>
    <row r="14" spans="1:17">
      <c r="A14" s="75" t="s">
        <v>58</v>
      </c>
    </row>
    <row r="15" spans="1:17">
      <c r="A15" s="75" t="s">
        <v>59</v>
      </c>
    </row>
    <row r="16" spans="1:17">
      <c r="A16" s="90"/>
    </row>
    <row r="17" spans="1:1">
      <c r="A17" s="90"/>
    </row>
    <row r="18" spans="1:1">
      <c r="A18" s="91"/>
    </row>
  </sheetData>
  <sheetProtection formatCells="0" formatColumns="0" formatRows="0" insertColumns="0" insertRows="0" deleteColumns="0" deleteRows="0"/>
  <mergeCells count="5">
    <mergeCell ref="B4:F4"/>
    <mergeCell ref="H4:J4"/>
    <mergeCell ref="A6:N6"/>
    <mergeCell ref="O6:Q6"/>
    <mergeCell ref="D7:F7"/>
  </mergeCells>
  <phoneticPr fontId="3"/>
  <conditionalFormatting sqref="C8:C9">
    <cfRule type="cellIs" dxfId="1" priority="1" stopIfTrue="1" operator="equal">
      <formula>"日"</formula>
    </cfRule>
    <cfRule type="cellIs" dxfId="0" priority="2" stopIfTrue="1" operator="equal">
      <formula>"土"</formula>
    </cfRule>
  </conditionalFormatting>
  <pageMargins left="0.65" right="0.19685039370078741" top="0.42" bottom="0.74803149606299213" header="0.31496062992125984" footer="0.31496062992125984"/>
  <pageSetup paperSize="9" scale="94" orientation="landscape" r:id="rId1"/>
  <headerFooter>
    <oddFooter>&amp;L30j-BM/NS/HDCV/FJP&amp;CCONFIDENTIAL / 秘&amp;R&amp;P/&amp;N</oddFooter>
  </headerFooter>
  <legacyDrawing r:id="rId2"/>
</worksheet>
</file>

<file path=xl/worksheets/sheet8.xml><?xml version="1.0" encoding="utf-8"?>
<worksheet xmlns="http://schemas.openxmlformats.org/spreadsheetml/2006/main" xmlns:r="http://schemas.openxmlformats.org/officeDocument/2006/relationships">
  <sheetPr codeName="Sheet8">
    <tabColor rgb="FF00B050"/>
    <pageSetUpPr fitToPage="1"/>
  </sheetPr>
  <dimension ref="A2:G40"/>
  <sheetViews>
    <sheetView workbookViewId="0">
      <selection activeCell="A20" sqref="A20:IV20"/>
    </sheetView>
  </sheetViews>
  <sheetFormatPr defaultColWidth="8.75" defaultRowHeight="14.25"/>
  <cols>
    <col min="1" max="1" width="10.875" style="111" customWidth="1"/>
    <col min="2" max="2" width="7.875" style="111" customWidth="1"/>
    <col min="3" max="3" width="7.375" style="111" customWidth="1"/>
    <col min="4" max="4" width="12.75" style="111" customWidth="1"/>
    <col min="5" max="5" width="11.25" style="111" customWidth="1"/>
    <col min="6" max="6" width="21.625" style="111" customWidth="1"/>
    <col min="7" max="7" width="13.875" style="111" customWidth="1"/>
    <col min="8" max="10" width="11.5" style="111" customWidth="1"/>
    <col min="11" max="11" width="10.25" style="111" customWidth="1"/>
    <col min="12" max="16384" width="8.75" style="111"/>
  </cols>
  <sheetData>
    <row r="2" spans="1:7" s="109" customFormat="1" ht="22.5">
      <c r="D2" s="110" t="s">
        <v>67</v>
      </c>
    </row>
    <row r="3" spans="1:7" ht="21.75" customHeight="1">
      <c r="A3" s="118"/>
      <c r="D3" s="112" t="s">
        <v>102</v>
      </c>
    </row>
    <row r="6" spans="1:7" ht="31.5" customHeight="1">
      <c r="A6" s="113" t="s">
        <v>68</v>
      </c>
      <c r="B6" s="310" t="str">
        <f>Timesheet!D4</f>
        <v>Dang Thanh Tung</v>
      </c>
      <c r="C6" s="310"/>
      <c r="D6" s="113" t="s">
        <v>69</v>
      </c>
      <c r="E6" s="134">
        <f>Timesheet!D5</f>
        <v>0</v>
      </c>
      <c r="F6" s="113" t="s">
        <v>70</v>
      </c>
      <c r="G6" s="135" t="str">
        <f>Timesheet!D6</f>
        <v>ST1</v>
      </c>
    </row>
    <row r="7" spans="1:7" ht="31.5" customHeight="1">
      <c r="A7" s="113" t="s">
        <v>71</v>
      </c>
      <c r="B7" s="310" t="str">
        <f>Timesheet!R4</f>
        <v>FX</v>
      </c>
      <c r="C7" s="310"/>
      <c r="D7" s="115" t="s">
        <v>72</v>
      </c>
      <c r="E7" s="114"/>
      <c r="F7" s="116"/>
      <c r="G7" s="117"/>
    </row>
    <row r="9" spans="1:7" s="118" customFormat="1">
      <c r="A9" s="311" t="s">
        <v>73</v>
      </c>
      <c r="B9" s="312"/>
      <c r="C9" s="313"/>
      <c r="D9" s="306" t="s">
        <v>74</v>
      </c>
      <c r="E9" s="308" t="s">
        <v>75</v>
      </c>
      <c r="F9" s="308" t="s">
        <v>76</v>
      </c>
      <c r="G9" s="308" t="s">
        <v>77</v>
      </c>
    </row>
    <row r="10" spans="1:7" s="118" customFormat="1" ht="27">
      <c r="A10" s="136" t="s">
        <v>101</v>
      </c>
      <c r="B10" s="136" t="s">
        <v>99</v>
      </c>
      <c r="C10" s="136" t="s">
        <v>100</v>
      </c>
      <c r="D10" s="307"/>
      <c r="E10" s="309"/>
      <c r="F10" s="309"/>
      <c r="G10" s="309"/>
    </row>
    <row r="11" spans="1:7" s="119" customFormat="1" ht="29.25" customHeight="1">
      <c r="A11" s="139">
        <v>42051</v>
      </c>
      <c r="B11" s="140">
        <v>0.375</v>
      </c>
      <c r="C11" s="140">
        <v>0.70833333333333337</v>
      </c>
      <c r="D11" s="141">
        <v>0.33333333333333331</v>
      </c>
      <c r="E11" s="142" t="s">
        <v>206</v>
      </c>
      <c r="F11" s="142" t="s">
        <v>207</v>
      </c>
      <c r="G11" s="142"/>
    </row>
    <row r="12" spans="1:7" s="119" customFormat="1" ht="29.25" customHeight="1">
      <c r="A12" s="139">
        <v>42052</v>
      </c>
      <c r="B12" s="140">
        <v>0.375</v>
      </c>
      <c r="C12" s="140">
        <v>0.75</v>
      </c>
      <c r="D12" s="141">
        <v>0.33333333333333331</v>
      </c>
      <c r="E12" s="142" t="s">
        <v>203</v>
      </c>
      <c r="F12" s="142" t="s">
        <v>203</v>
      </c>
      <c r="G12" s="142"/>
    </row>
    <row r="13" spans="1:7" s="119" customFormat="1" ht="29.25" customHeight="1">
      <c r="A13" s="139">
        <v>42053</v>
      </c>
      <c r="B13" s="140">
        <v>0.375</v>
      </c>
      <c r="C13" s="140">
        <v>0.75</v>
      </c>
      <c r="D13" s="141">
        <v>0.33333333333333331</v>
      </c>
      <c r="E13" s="142" t="s">
        <v>203</v>
      </c>
      <c r="F13" s="142" t="s">
        <v>203</v>
      </c>
      <c r="G13" s="142"/>
    </row>
    <row r="14" spans="1:7" s="119" customFormat="1" ht="29.25" customHeight="1">
      <c r="A14" s="139">
        <v>42055</v>
      </c>
      <c r="B14" s="140">
        <v>0.375</v>
      </c>
      <c r="C14" s="140">
        <v>0.75</v>
      </c>
      <c r="D14" s="141">
        <v>0.33333333333333331</v>
      </c>
      <c r="E14" s="142" t="s">
        <v>203</v>
      </c>
      <c r="F14" s="142" t="s">
        <v>203</v>
      </c>
      <c r="G14" s="142"/>
    </row>
    <row r="15" spans="1:7" s="119" customFormat="1" ht="29.25" customHeight="1">
      <c r="A15" s="139">
        <v>42058</v>
      </c>
      <c r="B15" s="140">
        <v>0.375</v>
      </c>
      <c r="C15" s="140">
        <v>0.75</v>
      </c>
      <c r="D15" s="141">
        <v>0.33333333333333331</v>
      </c>
      <c r="E15" s="142" t="s">
        <v>203</v>
      </c>
      <c r="F15" s="142" t="s">
        <v>203</v>
      </c>
      <c r="G15" s="142"/>
    </row>
    <row r="16" spans="1:7" s="119" customFormat="1" ht="29.25" customHeight="1">
      <c r="A16" s="139">
        <v>42059</v>
      </c>
      <c r="B16" s="140">
        <v>0.375</v>
      </c>
      <c r="C16" s="140">
        <v>0.75</v>
      </c>
      <c r="D16" s="141">
        <v>0.33333333333333331</v>
      </c>
      <c r="E16" s="142" t="s">
        <v>203</v>
      </c>
      <c r="F16" s="142" t="s">
        <v>203</v>
      </c>
      <c r="G16" s="142"/>
    </row>
    <row r="17" spans="1:7" s="119" customFormat="1" ht="29.25" customHeight="1">
      <c r="A17" s="139">
        <v>42060</v>
      </c>
      <c r="B17" s="140">
        <v>0.375</v>
      </c>
      <c r="C17" s="140">
        <v>0.75</v>
      </c>
      <c r="D17" s="141">
        <v>0.33333333333333331</v>
      </c>
      <c r="E17" s="142" t="s">
        <v>203</v>
      </c>
      <c r="F17" s="142" t="s">
        <v>203</v>
      </c>
      <c r="G17" s="142"/>
    </row>
    <row r="18" spans="1:7" s="119" customFormat="1" ht="29.25" customHeight="1">
      <c r="A18" s="139">
        <v>42061</v>
      </c>
      <c r="B18" s="140">
        <v>0.375</v>
      </c>
      <c r="C18" s="140">
        <v>0.75</v>
      </c>
      <c r="D18" s="141">
        <v>0.33333333333333331</v>
      </c>
      <c r="E18" s="142" t="s">
        <v>203</v>
      </c>
      <c r="F18" s="142" t="s">
        <v>203</v>
      </c>
      <c r="G18" s="142"/>
    </row>
    <row r="19" spans="1:7" s="119" customFormat="1" ht="29.25" customHeight="1">
      <c r="A19" s="139">
        <v>42062</v>
      </c>
      <c r="B19" s="140">
        <v>0.375</v>
      </c>
      <c r="C19" s="140">
        <v>0.75</v>
      </c>
      <c r="D19" s="141">
        <v>0.33333333333333331</v>
      </c>
      <c r="E19" s="142" t="s">
        <v>203</v>
      </c>
      <c r="F19" s="142" t="s">
        <v>203</v>
      </c>
      <c r="G19" s="142"/>
    </row>
    <row r="20" spans="1:7" s="119" customFormat="1" ht="27.75" customHeight="1">
      <c r="A20" s="120"/>
      <c r="B20" s="121"/>
      <c r="C20" s="121"/>
      <c r="D20" s="120"/>
      <c r="E20" s="120"/>
      <c r="F20" s="120"/>
      <c r="G20" s="120"/>
    </row>
    <row r="21" spans="1:7" ht="41.25" customHeight="1">
      <c r="B21" s="297" t="s">
        <v>78</v>
      </c>
      <c r="C21" s="298"/>
      <c r="D21" s="303" t="s">
        <v>79</v>
      </c>
      <c r="E21" s="303"/>
      <c r="F21" s="122" t="s">
        <v>80</v>
      </c>
    </row>
    <row r="22" spans="1:7" ht="77.25" customHeight="1">
      <c r="B22" s="299" t="str">
        <f>B6</f>
        <v>Dang Thanh Tung</v>
      </c>
      <c r="C22" s="300"/>
      <c r="D22" s="304"/>
      <c r="E22" s="304"/>
      <c r="F22" s="123"/>
    </row>
    <row r="23" spans="1:7">
      <c r="B23" s="301" t="str">
        <f ca="1">"日付："&amp;TEXT(TODAY(),"mm月dd日")</f>
        <v>日付：03月09日</v>
      </c>
      <c r="C23" s="302"/>
      <c r="D23" s="305" t="s">
        <v>81</v>
      </c>
      <c r="E23" s="305"/>
      <c r="F23" s="124" t="s">
        <v>81</v>
      </c>
    </row>
    <row r="24" spans="1:7" ht="15" thickBot="1">
      <c r="A24" s="125"/>
      <c r="B24" s="125"/>
      <c r="C24" s="125"/>
      <c r="D24" s="125"/>
      <c r="E24" s="125"/>
      <c r="F24" s="125"/>
      <c r="G24" s="125"/>
    </row>
    <row r="25" spans="1:7" ht="27.75" customHeight="1">
      <c r="A25" s="126" t="s">
        <v>82</v>
      </c>
    </row>
    <row r="26" spans="1:7" s="127" customFormat="1" ht="19.5" customHeight="1">
      <c r="A26" s="128" t="s">
        <v>83</v>
      </c>
      <c r="D26" s="128" t="s">
        <v>84</v>
      </c>
    </row>
    <row r="27" spans="1:7" s="127" customFormat="1" ht="19.5" customHeight="1">
      <c r="A27" s="128" t="s">
        <v>103</v>
      </c>
      <c r="D27" s="128" t="s">
        <v>85</v>
      </c>
    </row>
    <row r="28" spans="1:7" s="127" customFormat="1" ht="19.5" customHeight="1">
      <c r="A28" s="128" t="s">
        <v>86</v>
      </c>
      <c r="D28" s="128" t="s">
        <v>87</v>
      </c>
    </row>
    <row r="29" spans="1:7" ht="6.75" customHeight="1">
      <c r="D29" s="129"/>
    </row>
    <row r="30" spans="1:7">
      <c r="A30" s="130" t="s">
        <v>88</v>
      </c>
      <c r="G30" s="131"/>
    </row>
    <row r="31" spans="1:7">
      <c r="A31" s="128" t="s">
        <v>89</v>
      </c>
      <c r="D31" s="132"/>
      <c r="E31" s="132"/>
    </row>
    <row r="32" spans="1:7">
      <c r="A32" s="128" t="s">
        <v>90</v>
      </c>
      <c r="D32" s="132"/>
      <c r="E32" s="132"/>
    </row>
    <row r="33" spans="1:5">
      <c r="A33" s="133" t="s">
        <v>91</v>
      </c>
      <c r="D33" s="132"/>
      <c r="E33" s="132"/>
    </row>
    <row r="34" spans="1:5">
      <c r="A34" s="127" t="s">
        <v>92</v>
      </c>
      <c r="D34" s="132"/>
      <c r="E34" s="132"/>
    </row>
    <row r="35" spans="1:5">
      <c r="A35" s="128" t="s">
        <v>93</v>
      </c>
      <c r="D35" s="132"/>
      <c r="E35" s="132"/>
    </row>
    <row r="36" spans="1:5">
      <c r="A36" s="128" t="s">
        <v>94</v>
      </c>
      <c r="D36" s="132"/>
      <c r="E36" s="132"/>
    </row>
    <row r="37" spans="1:5">
      <c r="A37" s="133" t="s">
        <v>95</v>
      </c>
    </row>
    <row r="38" spans="1:5">
      <c r="A38" s="133" t="s">
        <v>96</v>
      </c>
    </row>
    <row r="39" spans="1:5">
      <c r="A39" s="133" t="s">
        <v>97</v>
      </c>
    </row>
    <row r="40" spans="1:5">
      <c r="A40" s="128" t="s">
        <v>98</v>
      </c>
    </row>
  </sheetData>
  <sheetProtection formatCells="0" formatColumns="0" formatRows="0" insertColumns="0" insertRows="0" insertHyperlinks="0" deleteColumns="0" deleteRows="0" sort="0" autoFilter="0" pivotTables="0"/>
  <mergeCells count="13">
    <mergeCell ref="G9:G10"/>
    <mergeCell ref="B21:C21"/>
    <mergeCell ref="D21:E21"/>
    <mergeCell ref="B22:C22"/>
    <mergeCell ref="D22:E22"/>
    <mergeCell ref="F9:F10"/>
    <mergeCell ref="B23:C23"/>
    <mergeCell ref="D23:E23"/>
    <mergeCell ref="B6:C6"/>
    <mergeCell ref="B7:C7"/>
    <mergeCell ref="A9:C9"/>
    <mergeCell ref="D9:D10"/>
    <mergeCell ref="E9:E10"/>
  </mergeCells>
  <phoneticPr fontId="3"/>
  <pageMargins left="0.94513888888888886" right="0.47222222222222221" top="0.74791666666666667" bottom="0.74791666666666667" header="0.51180555555555551" footer="0.51180555555555551"/>
  <pageSetup paperSize="9" firstPageNumber="0" orientation="portrait" horizontalDpi="300" verticalDpi="300"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8</vt:i4>
      </vt:variant>
      <vt:variant>
        <vt:lpstr>名前付き一覧</vt:lpstr>
      </vt:variant>
      <vt:variant>
        <vt:i4>4</vt:i4>
      </vt:variant>
    </vt:vector>
  </HeadingPairs>
  <TitlesOfParts>
    <vt:vector size="12" baseType="lpstr">
      <vt:lpstr>Timesheet</vt:lpstr>
      <vt:lpstr>SampleTimesheet</vt:lpstr>
      <vt:lpstr>TemplateOT</vt:lpstr>
      <vt:lpstr>TemplateVacation</vt:lpstr>
      <vt:lpstr>TemplateOT45</vt:lpstr>
      <vt:lpstr>Holiday2015</vt:lpstr>
      <vt:lpstr>OTRequest</vt:lpstr>
      <vt:lpstr>VacationRequest</vt:lpstr>
      <vt:lpstr>SampleTimesheet!Print_Area</vt:lpstr>
      <vt:lpstr>TemplateVacation!Print_Area</vt:lpstr>
      <vt:lpstr>Timesheet!Print_Area</vt:lpstr>
      <vt:lpstr>VacationRequest!Print_Area</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kinhnd</dc:creator>
  <cp:lastModifiedBy>User</cp:lastModifiedBy>
  <cp:lastPrinted>2013-12-19T06:45:29Z</cp:lastPrinted>
  <dcterms:created xsi:type="dcterms:W3CDTF">2007-11-17T08:09:49Z</dcterms:created>
  <dcterms:modified xsi:type="dcterms:W3CDTF">2015-03-09T07:28:07Z</dcterms:modified>
</cp:coreProperties>
</file>